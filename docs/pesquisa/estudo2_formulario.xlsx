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ções" sheetId="1" state="visible" r:id="rId3"/>
    <sheet name="Sessão" sheetId="2" state="visible" r:id="rId4"/>
    <sheet name="Roteiro" sheetId="3" state="visible" r:id="rId5"/>
    <sheet name="Resumo" sheetId="4" state="visible" r:id="rId6"/>
    <sheet name="Tarefas" sheetId="5" state="visible" r:id="rId7"/>
  </sheets>
  <definedNames>
    <definedName function="false" hidden="true" localSheetId="2" name="_xlnm._FilterDatabase" vbProcedure="false">Roteiro!$A$3:$AE$37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Estudo 2</author>
  </authors>
  <commentList>
    <comment ref="N4" authorId="0">
      <text>
        <r>
          <rPr>
            <sz val="10"/>
            <rFont val="Arial"/>
            <family val="2"/>
          </rPr>
          <t xml:space="preserve">t0: o(a) facilitador(a) diz "pode começar".</t>
        </r>
      </text>
    </comment>
    <comment ref="O4" authorId="0">
      <text>
        <r>
          <rPr>
            <sz val="10"/>
            <rFont val="Arial"/>
            <family val="2"/>
          </rPr>
          <t xml:space="preserve">t1: a avaliadora diz a resposta final (vale a última) ou "desisto".</t>
        </r>
      </text>
    </comment>
  </commentList>
</comments>
</file>

<file path=xl/sharedStrings.xml><?xml version="1.0" encoding="utf-8"?>
<sst xmlns="http://schemas.openxmlformats.org/spreadsheetml/2006/main" count="696" uniqueCount="418">
  <si>
    <t xml:space="preserve">Legenda</t>
  </si>
  <si>
    <t xml:space="preserve">Células amarelas: preencher. Células cinzas: calculadas (não editar). Coluna Conferência (vermelho): inconsistências a resolver. Linha cinza em itálico no Roteiro: exemplo. Protocolo completo: docs/pesquisa/estudo2_tarefas.md.</t>
  </si>
  <si>
    <t xml:space="preserve">Condições</t>
  </si>
  <si>
    <t xml:space="preserve">S = Chrome sem extensão (perfil S). C = Chrome com Accessify v1.1.0-jis_submission (perfil C), acionado pelo painel lateral em cada página nova do site da tarefa, antes de procurar a informação: Alt+Shift+A (abre o painel e inicia a análise), ouvir o resultado, "Aplicar Otimizações", ouvir a confirmação e voltar à página. A sequência exata de teclas (provavelmente F6 para alternar painel e página) é fixada no piloto. Não acionar duas vezes na mesma página (a segunda análise recarrega a página). Sites externos ao da tarefa não recebem o Accessify.</t>
  </si>
  <si>
    <t xml:space="preserve">Tempos</t>
  </si>
  <si>
    <t xml:space="preserve">t0 = o(a) facilitador(a) diz "pode começar". t1 = a avaliadora diz a resposta final ("minha resposta é…") ou "desisto"; se ela corrigir a resposta, valem a última resposta e o seu t1. Releituras da instrução a pedido ficam dentro do tempo e são contadas em Repetições. Tempo total = t1 − t0. Tempo no painel (só em C) = soma dos intervalos entre Alt+Shift+A e a volta do foco à página (primeira fala do NVDA vinda da página depois da confirmação). Tempo líquido = total − painel.</t>
  </si>
  <si>
    <t xml:space="preserve">Teto</t>
  </si>
  <si>
    <t xml:space="preserve">300 s de tempo líquido nas duas condições. Ao vivo, o(a) facilitador(a) pausa o cronômetro durante o painel e encerra a tarefa aos 300 s; execução encerrada pelo(a) facilitador(a) ou com tempo líquido acima de 300 s conta como F.</t>
  </si>
  <si>
    <t xml:space="preserve">Resultado</t>
  </si>
  <si>
    <t xml:space="preserve">S = resposta correta segundo o critério da linha, sem ajuda, dentro do teto. P = parcialmente correta, como definido no critério. F = errada, desistência, ajuda ou teto. Ajuda = indicar caminho, conteúdo ou atalho. Lembrar de acionar o Accessify não é ajuda: o(a) facilitador(a) lembra assim que ela começar a explorar uma página nova sem o painel, e conta em "Lembretes".</t>
  </si>
  <si>
    <t xml:space="preserve">Falha da extensão</t>
  </si>
  <si>
    <t xml:space="preserve">Se o painel mostrar erro ou não anunciar o fim da análise em 60 s, a avaliadora segue sem acionar de novo; escrever "C degradada" em Observações (entra numa análise de sensibilidade).</t>
  </si>
  <si>
    <t xml:space="preserve">SEQ (Single Ease Question)</t>
  </si>
  <si>
    <t xml:space="preserve">Logo após cada tarefa: "No geral, quão fácil ou difícil foi esta tarefa, de 1 (muito difícil) a 7 (muito fácil)?"</t>
  </si>
  <si>
    <t xml:space="preserve">Estratégia</t>
  </si>
  <si>
    <t xml:space="preserve">Como a avaliadora chegou à resposta: cabeçalhos, lista de links, busca do NVDA, leitura linear, tabela, menu do site, busca do site ou várias (texto livre permitido).</t>
  </si>
  <si>
    <t xml:space="preserve">Barreiras e falas do NVDA</t>
  </si>
  <si>
    <t xml:space="preserve">Trecho literal do que o NVDA falou nos pontos de dificuldade (ex.: "link Abrir link 11", "gráfico"), com o tempo no vídeo. Alimenta o Barrier Walkthrough (impacto 1–3 × persistência).</t>
  </si>
  <si>
    <t xml:space="preserve">Antes de cada tarefa</t>
  </si>
  <si>
    <t xml:space="preserve">O(a) facilitador(a) abre a URL inicial, espera a carga, cala o NVDA (Ctrl) e só então lê a ação; a avaliadora não toca no teclado até "pode começar". Sem pensar em voz alta (comentários depois da resposta), sem ensinar atalhos, sem baixar arquivos.</t>
  </si>
  <si>
    <t xml:space="preserve">Dados da sessão (preencher antes de começar)</t>
  </si>
  <si>
    <t xml:space="preserve">Data e local</t>
  </si>
  <si>
    <t xml:space="preserve">Avaliadora</t>
  </si>
  <si>
    <t xml:space="preserve">Facilitador(a)</t>
  </si>
  <si>
    <t xml:space="preserve">Codificador(a) 1 / 2</t>
  </si>
  <si>
    <t xml:space="preserve">Versão do NVDA</t>
  </si>
  <si>
    <t xml:space="preserve">NVDA: voz e velocidade</t>
  </si>
  <si>
    <t xml:space="preserve">NVDA: anunciar cabeçalhos de linha/coluna de tabela</t>
  </si>
  <si>
    <t xml:space="preserve">NVDA: ler automaticamente a página ao carregar</t>
  </si>
  <si>
    <t xml:space="preserve">NVDA: nível de log (Entrada/saída) e arquivo do log</t>
  </si>
  <si>
    <t xml:space="preserve">Versão do Chrome</t>
  </si>
  <si>
    <t xml:space="preserve">Perfil S (sem extensão) / Perfil C (com extensão)</t>
  </si>
  <si>
    <t xml:space="preserve">Build da extensão</t>
  </si>
  <si>
    <t xml:space="preserve">v1.1.0-jis_submission (informar o commit)</t>
  </si>
  <si>
    <t xml:space="preserve">Provedor e modelo</t>
  </si>
  <si>
    <t xml:space="preserve">Ollama local, qwen3:8b, raciocínio original (padrão da v1.1.0)</t>
  </si>
  <si>
    <t xml:space="preserve">Máquina do Ollama e latência medida no piloto</t>
  </si>
  <si>
    <t xml:space="preserve">Modo da condição C</t>
  </si>
  <si>
    <t xml:space="preserve">painel lateral em cada página (recomendado) / modo automático</t>
  </si>
  <si>
    <t xml:space="preserve">Sequência de teclas do painel fixada no piloto</t>
  </si>
  <si>
    <t xml:space="preserve">Janela, zoom e largura útil da página com o painel aberto</t>
  </si>
  <si>
    <t xml:space="preserve">maximizada (≥ 1280 px), zoom 100%</t>
  </si>
  <si>
    <t xml:space="preserve">Fontes de áudio gravadas (sistema/NVDA e microfone)</t>
  </si>
  <si>
    <t xml:space="preserve">Conferência das respostas (eval/tools/estudo2_conferir.py): data, hora e resultado</t>
  </si>
  <si>
    <t xml:space="preserve">Arquivo da gravação (OBS)</t>
  </si>
  <si>
    <t xml:space="preserve">Tarefas trocadas por reserva (e motivo)</t>
  </si>
  <si>
    <t xml:space="preserve">Familiaridade prévia da avaliadora com cada site</t>
  </si>
  <si>
    <t xml:space="preserve">SOL — anais e busca (sol.sbc.org.br)</t>
  </si>
  <si>
    <t xml:space="preserve">SOL Livros (books-sol.sbc.org.br)</t>
  </si>
  <si>
    <t xml:space="preserve">Portal de Periódicos CAPES</t>
  </si>
  <si>
    <t xml:space="preserve">Site da CAPES (gov.br/capes)</t>
  </si>
  <si>
    <t xml:space="preserve">Site do IHC (2025/2026)</t>
  </si>
  <si>
    <t xml:space="preserve">Site do CSBC 2026</t>
  </si>
  <si>
    <t xml:space="preserve">Site do EduComp 2026</t>
  </si>
  <si>
    <t xml:space="preserve">Site da SBC (sbc.org.br)</t>
  </si>
  <si>
    <t xml:space="preserve">Journal on Interactive Systems (JIS)</t>
  </si>
  <si>
    <t xml:space="preserve">Estudo 2 — Roteiro e registro das tarefas (uma linha por execução)</t>
  </si>
  <si>
    <t xml:space="preserve">Preencher só as células amarelas, a partir do vídeo e do log do NVDA; as cinzas são calculadas e a coluna Conferência aponta inconsistências. Tempos do vídeo como mm:ss ou h:mm:ss. Condição: S = sem extensão, C = com Accessify v1.1.0. Definições na aba Instruções. A linha 4 é um exemplo e não entra no Resumo.</t>
  </si>
  <si>
    <t xml:space="preserve">Ordem</t>
  </si>
  <si>
    <t xml:space="preserve">Bloco</t>
  </si>
  <si>
    <t xml:space="preserve">Condição</t>
  </si>
  <si>
    <t xml:space="preserve">Tarefa</t>
  </si>
  <si>
    <t xml:space="preserve">Variante</t>
  </si>
  <si>
    <t xml:space="preserve">Site</t>
  </si>
  <si>
    <t xml:space="preserve">URL inicial</t>
  </si>
  <si>
    <t xml:space="preserve">Ação (ler em voz alta)</t>
  </si>
  <si>
    <t xml:space="preserve">Saída esperada</t>
  </si>
  <si>
    <t xml:space="preserve">Critério de sucesso</t>
  </si>
  <si>
    <t xml:space="preserve">Estimativa (s)</t>
  </si>
  <si>
    <t xml:space="preserve">Resposta dada</t>
  </si>
  <si>
    <t xml:space="preserve">Resultado (S/P/F)</t>
  </si>
  <si>
    <t xml:space="preserve">t0 no vídeo (mm:ss)</t>
  </si>
  <si>
    <t xml:space="preserve">t1 no vídeo (mm:ss)</t>
  </si>
  <si>
    <t xml:space="preserve">t0 (s)</t>
  </si>
  <si>
    <t xml:space="preserve">t1 (s)</t>
  </si>
  <si>
    <t xml:space="preserve">Tempo total (s)</t>
  </si>
  <si>
    <t xml:space="preserve">Tempo no painel (s)</t>
  </si>
  <si>
    <t xml:space="preserve">Tempo líquido (s)</t>
  </si>
  <si>
    <t xml:space="preserve">Acima do teto (300 s líquidos)?</t>
  </si>
  <si>
    <t xml:space="preserve">Encerrada pelo(a) facilitador(a) (s/n)</t>
  </si>
  <si>
    <t xml:space="preserve">Repetições da instrução</t>
  </si>
  <si>
    <t xml:space="preserve">Lembretes para acionar o Accessify</t>
  </si>
  <si>
    <t xml:space="preserve">Ajuda (sim → F)</t>
  </si>
  <si>
    <t xml:space="preserve">SEQ (1–7)</t>
  </si>
  <si>
    <t xml:space="preserve">Observações</t>
  </si>
  <si>
    <t xml:space="preserve">Conferência</t>
  </si>
  <si>
    <t xml:space="preserve">Chave</t>
  </si>
  <si>
    <t xml:space="preserve">ex.</t>
  </si>
  <si>
    <t xml:space="preserve">EXEMPLO (não conta)</t>
  </si>
  <si>
    <t xml:space="preserve">—</t>
  </si>
  <si>
    <t xml:space="preserve">IHC-2</t>
  </si>
  <si>
    <t xml:space="preserve">A</t>
  </si>
  <si>
    <t xml:space="preserve">IHC 2026 — Programação Geral</t>
  </si>
  <si>
    <t xml:space="preserve">https://ihc.sbc.org.br/2026/index.php/programacao/</t>
  </si>
  <si>
    <t xml:space="preserve">Na página de programação do IHC 2026, sem baixar arquivos, descubra qual sessão técnica aconteceu na terça-feira, 20 de outubro, às 10h30.</t>
  </si>
  <si>
    <t xml:space="preserve">Sessão Técnica 2 — Diversidade e Justiça Social (Sala Juazeiro, 10h30–12h)</t>
  </si>
  <si>
    <t xml:space="preserve">S: número (2) ou tema (Diversidade e Justiça Social). P: lê a linha certa, mas não diz qual é a sessão técnica. F: outro dia (a aba de segunda abre por padrão), outra linha, desistência.</t>
  </si>
  <si>
    <t xml:space="preserve">Sessão técnica 2, Diversidade e Justiça Social</t>
  </si>
  <si>
    <t xml:space="preserve">S</t>
  </si>
  <si>
    <t xml:space="preserve">12:05</t>
  </si>
  <si>
    <t xml:space="preserve">13:21</t>
  </si>
  <si>
    <t xml:space="preserve">n</t>
  </si>
  <si>
    <t xml:space="preserve">não</t>
  </si>
  <si>
    <t xml:space="preserve">várias</t>
  </si>
  <si>
    <t xml:space="preserve">12:31 buscou "10h30" com a aba de segunda aberta e caiu na linha errada; voltou e ativou a aba "20/10 - Terça".</t>
  </si>
  <si>
    <t xml:space="preserve">Usou Ctrl+Alt+setas na tabela.</t>
  </si>
  <si>
    <t xml:space="preserve">Sessão 1 · Preparação e regras (15 min); familiarização livre no perfil S (2 min) · Bloco 1a — grupo G1, SEM extensão (perfil S), variante A</t>
  </si>
  <si>
    <t xml:space="preserve">Sessão 1 · Bloco 1a</t>
  </si>
  <si>
    <t xml:space="preserve">SOL-1</t>
  </si>
  <si>
    <t xml:space="preserve">SOL — busca integrada</t>
  </si>
  <si>
    <t xml:space="preserve">https://sol.sbc.org.br/busca/</t>
  </si>
  <si>
    <t xml:space="preserve">Na busca da biblioteca digital da SBC, a SOL, procure nos Anais de Eventos o artigo "Can AI Judge Usability? A Comparative Analysis of Generative Tools on Climate Conference Websites" e diga o nome do primeiro autor.</t>
  </si>
  <si>
    <t xml:space="preserve">Danilo Teixeira Lima (no resultado deve aparecer como "Lima, Danilo Teixeira"; confirmar no piloto)</t>
  </si>
  <si>
    <t xml:space="preserve">S: "Danilo Teixeira Lima", "Danilo Lima" ou "Lima". P: chega ao resultado certo, mas diz outro autor do artigo. F: não consegue enviar a busca (a base "Anais de Eventos" é obrigatória e o aviso é só visual), outro nome, desistência.</t>
  </si>
  <si>
    <t xml:space="preserve">CAPES-1</t>
  </si>
  <si>
    <t xml:space="preserve">Portal de Periódicos CAPES — Lista A–Z</t>
  </si>
  <si>
    <t xml:space="preserve">https://www.periodicos.capes.gov.br/index.php/acervo/lista-a-z-periodicos.html</t>
  </si>
  <si>
    <t xml:space="preserve">No Portal de Periódicos da CAPES, descubra qual é o ISSN do periódico Journal of the Brazilian Computer Society.</t>
  </si>
  <si>
    <t xml:space="preserve">0104-6500</t>
  </si>
  <si>
    <t xml:space="preserve">S: 0104-6500 (hífen opcional). P: chegou à página do periódico sem ler o ISSN, ou deu um ISSN lido fora do Portal (SciELO). F: ISSN de outro título, desistência.</t>
  </si>
  <si>
    <t xml:space="preserve">CSBC-2</t>
  </si>
  <si>
    <t xml:space="preserve">CSBC 2026 — rodapé de patrocinadores</t>
  </si>
  <si>
    <t xml:space="preserve">https://csbc.sbc.org.br/2026/</t>
  </si>
  <si>
    <t xml:space="preserve">No site do CSBC 2026, o Congresso da SBC, descubra qual empresa é a patrocinadora da categoria Cobre.</t>
  </si>
  <si>
    <t xml:space="preserve">Scherm (aceitar scherm.com.br, em qualquer pronúncia ou soletrado)</t>
  </si>
  <si>
    <t xml:space="preserve">S: "Scherm" ou o domínio. P: chega ao link da categoria Cobre, mas não consegue nomear a empresa. F: empresa de outra categoria, desistência.</t>
  </si>
  <si>
    <t xml:space="preserve">Trocar para o perfil C · P0, treino do painel · Bloco 1b — grupo G2, COM extensão, variante A</t>
  </si>
  <si>
    <t xml:space="preserve">Sessão 1 · P0 (treino)</t>
  </si>
  <si>
    <t xml:space="preserve">Painel</t>
  </si>
  <si>
    <t xml:space="preserve">P0</t>
  </si>
  <si>
    <t xml:space="preserve">W3C BAD (controle do Estudo 1)</t>
  </si>
  <si>
    <t xml:space="preserve">https://www.w3.org/WAI/demos/bad/before/home.html</t>
  </si>
  <si>
    <t xml:space="preserve">Com o Accessify, analise esta página, aplique as otimizações e volte para a página. Avise quando estiver de volta.</t>
  </si>
  <si>
    <t xml:space="preserve">Painel anuncia que as otimizações foram aplicadas; o foco volta à página</t>
  </si>
  <si>
    <t xml:space="preserve">S: aciona Alt+Shift+A, chega ao painel, ouve o resultado da análise, ativa "Aplicar Otimizações", ouve a confirmação e volta à página, sem ajuda. P: conclui com uma dica. F: não conclui. (Treino: a dica é permitida, mas registrada.)</t>
  </si>
  <si>
    <t xml:space="preserve">Sessão 1 · Bloco 1b</t>
  </si>
  <si>
    <t xml:space="preserve">C</t>
  </si>
  <si>
    <t xml:space="preserve">SOL-2</t>
  </si>
  <si>
    <t xml:space="preserve">SOL — anais do IHC 2025</t>
  </si>
  <si>
    <t xml:space="preserve">https://sol.sbc.org.br/index.php/ihc/issue/view/1582</t>
  </si>
  <si>
    <t xml:space="preserve">Nos anais do IHC 2025, na SOL, diga em qual trilha foi publicado o artigo "Falando, desenhando e avaliando: workshops para a construção de um repositório sobre tecnologias para pessoas idosas".</t>
  </si>
  <si>
    <t xml:space="preserve">Relatos de Experiência</t>
  </si>
  <si>
    <t xml:space="preserve">S: "Relatos de Experiência" (com ou sem "Trilha"). P: chega ao artigo, mas não identifica a trilha. F: outra trilha (Abertura, Ideias Inovadoras, Prêmio, Artigos de Pesquisa), desistência.</t>
  </si>
  <si>
    <t xml:space="preserve">CAPES-2</t>
  </si>
  <si>
    <t xml:space="preserve">Portal de Periódicos CAPES — Suporte regional</t>
  </si>
  <si>
    <t xml:space="preserve">https://www.periodicos.capes.gov.br/index.php/ajuda/suporte-regional.html</t>
  </si>
  <si>
    <t xml:space="preserve">No Portal de Periódicos da CAPES, encontre o e-mail de contato do suporte regional para a região Centro-Oeste.</t>
  </si>
  <si>
    <t xml:space="preserve">lucianasetubal@unb.br ou seanio.avelino@unb.br (qualquer um)</t>
  </si>
  <si>
    <t xml:space="preserve">S: um dos dois e-mails @unb.br. P: abre a região Centro-Oeste, mas dá só o nome ou o telefone, ou soletra o e-mail com 1 caractere errado. F: e-mail de outra região, desistência.</t>
  </si>
  <si>
    <t xml:space="preserve">IHC-1</t>
  </si>
  <si>
    <t xml:space="preserve">IHC 2026 — Sessões Técnicas</t>
  </si>
  <si>
    <t xml:space="preserve">https://ihc.sbc.org.br/2026/</t>
  </si>
  <si>
    <t xml:space="preserve">No site do IHC 2026, sem baixar arquivos, descubra em que dia, horário e sala foi apresentado o artigo "Explorando lacunas e oportunidades em aplicativos móveis para suporte ao luto com aplicabilidade profissional".</t>
  </si>
  <si>
    <t xml:space="preserve">Quinta-feira, 22/10, das 08h30 às 10h00, sala Algaroba (Sessão Técnica 10)</t>
  </si>
  <si>
    <t xml:space="preserve">S: dia (quinta ou 22/10) + início 08h30 + sala Algaroba. P: 2 dos 3 dados, ou só a sessão certa. F: dados de outra sessão, desistência.</t>
  </si>
  <si>
    <t xml:space="preserve">EDU-1</t>
  </si>
  <si>
    <t xml:space="preserve">EduComp 2026 — chamadas</t>
  </si>
  <si>
    <t xml:space="preserve">https://educomp.sbc.org.br/2026/</t>
  </si>
  <si>
    <t xml:space="preserve">No site do EduComp 2026, descubra quem coordena a chamada de Minicursos.</t>
  </si>
  <si>
    <t xml:space="preserve">Maria Ivanilse Calderon Ribeiro (IFRO)</t>
  </si>
  <si>
    <t xml:space="preserve">S: o nome (ao menos prenome e um sobrenome; instituição opcional). P: abre a chamada certa, mas não lê o nome ou dá só o contato; ou responde os ministrantes listados em Programação &gt; Minicursos. F: coordenação de outra chamada, desistência.</t>
  </si>
  <si>
    <t xml:space="preserve">Pausa (10 min) · Bloco 2a — grupo G1, COM extensão (perfil C), variante B</t>
  </si>
  <si>
    <t xml:space="preserve">Sessão 1 · Bloco 2a</t>
  </si>
  <si>
    <t xml:space="preserve">B</t>
  </si>
  <si>
    <t xml:space="preserve">Na busca da biblioteca digital da SBC, a SOL, procure nos Anais de Eventos o artigo "Teaching or Manipulating? On the Adoption of Bright and Deceptive Patterns by Duolingo" e diga o nome do primeiro autor.</t>
  </si>
  <si>
    <t xml:space="preserve">João Vítor Castro (provavelmente "Castro, João Vítor"; confirmar no piloto)</t>
  </si>
  <si>
    <t xml:space="preserve">S: "João Vítor Castro", "João Castro" ou "Castro". P: chega ao resultado certo, mas diz o segundo autor (George Valença). F: não envia a busca, outro nome, desistência.</t>
  </si>
  <si>
    <t xml:space="preserve">No Portal de Periódicos da CAPES, descubra qual é o ISSN do periódico Journal of the Brazilian Chemical Society.</t>
  </si>
  <si>
    <t xml:space="preserve">0103-5053</t>
  </si>
  <si>
    <t xml:space="preserve">S: 0103-5053 (hífen opcional). P: chegou à página do periódico sem ler o ISSN, ou deu um ISSN lido fora do Portal (SciELO). F: ISSN de outro título, desistência.</t>
  </si>
  <si>
    <t xml:space="preserve">Na página de programação do IHC 2026, sem baixar arquivos, descubra qual sessão técnica aconteceu na quarta-feira, 21 de outubro, às 10h30.</t>
  </si>
  <si>
    <t xml:space="preserve">Sessão Técnica 6 — Padrões Enganosos e Privacidade (Sala Juazeiro, 10h30–12h)</t>
  </si>
  <si>
    <t xml:space="preserve">S: número (6) ou tema (Padrões Enganosos e Privacidade). P: lê a linha certa, mas não diz qual é a sessão técnica. F: outro dia, outra linha, desistência.</t>
  </si>
  <si>
    <t xml:space="preserve">No site do CSBC 2026, o Congresso da SBC, descubra qual empresa é a patrocinadora da categoria Ouro.</t>
  </si>
  <si>
    <t xml:space="preserve">Qualcomm (aceitar o endereço qualcomm.com)</t>
  </si>
  <si>
    <t xml:space="preserve">S: "Qualcomm" ou o domínio. P: chega ao link da categoria Ouro, mas não consegue nomear a empresa. F: empresa de outra categoria, desistência.</t>
  </si>
  <si>
    <t xml:space="preserve">Trocar para o perfil S · Bloco 2b — grupo G2, SEM extensão, variante B · depois, entrevista final (10 min)</t>
  </si>
  <si>
    <t xml:space="preserve">Sessão 1 · Bloco 2b</t>
  </si>
  <si>
    <t xml:space="preserve">Nos anais do IHC 2025, na SOL, diga em qual trilha foi publicado o artigo "Diagnóstico da Acessibilidade Digital em Serviços Públicos Prioritários usando a Lei de Acesso à Informação".</t>
  </si>
  <si>
    <t xml:space="preserve">Ideias Inovadoras e Resultados Emergentes em IHC</t>
  </si>
  <si>
    <t xml:space="preserve">S: "Ideias Inovadoras e Resultados Emergentes em IHC" (aceitar "Ideias Inovadoras"). P: chega ao artigo, mas não identifica a trilha. F: outra trilha, desistência.</t>
  </si>
  <si>
    <t xml:space="preserve">No Portal de Periódicos da CAPES, encontre o e-mail de contato do suporte regional para a região Sudeste.</t>
  </si>
  <si>
    <t xml:space="preserve">cref@sibi.ufrj.br</t>
  </si>
  <si>
    <t xml:space="preserve">S: cref@sibi.ufrj.br. P: abre a região Sudeste, mas dá só o nome de uma bibliotecária, ou soletra o e-mail com 1 caractere errado. F: e-mail de outra região, desistência.</t>
  </si>
  <si>
    <t xml:space="preserve">No site do IHC 2026, sem baixar arquivos, descubra em que dia, horário e sala foi apresentado o artigo "Lições Aprendidas sobre a Comunicabilidade da Ferramenta FAKECHECK: Uma Avaliação da Plataforma Web para Detecção de Notícias Falsas".</t>
  </si>
  <si>
    <t xml:space="preserve">Quarta-feira, 21/10, das 14h às 15h30, sala Juazeiro (Sessão Técnica 7)</t>
  </si>
  <si>
    <t xml:space="preserve">S: dia (quarta ou 21/10) + início 14h + sala Juazeiro. P: 2 dos 3 dados, ou só a sessão certa. F: dados de outra sessão, desistência.</t>
  </si>
  <si>
    <t xml:space="preserve">No site do EduComp 2026, descubra quem coordena a chamada de Mesas temáticas.</t>
  </si>
  <si>
    <t xml:space="preserve">Jefferson Rodrigo Speck (Faculdade Donaduzzi/Unioeste)</t>
  </si>
  <si>
    <t xml:space="preserve">S: o nome (ao menos prenome e um sobrenome). P: abre a chamada certa, mas não lê o nome ou dá só o contato; ou responde os mediadores de uma mesa (Programação &gt; Mesas temáticas). F: coordenação de outra chamada, desistência.</t>
  </si>
  <si>
    <t xml:space="preserve">Sessão 2 (complementar) · Preparação (10 min) · Bloco 3a — grupo G1, SEM extensão (perfil S), variante A</t>
  </si>
  <si>
    <t xml:space="preserve">Sessão 2 · Bloco 3a</t>
  </si>
  <si>
    <t xml:space="preserve">JIS-1</t>
  </si>
  <si>
    <t xml:space="preserve">JIS — volume 16 (2025)</t>
  </si>
  <si>
    <t xml:space="preserve">https://journals-sol.sbc.org.br/index.php/jis</t>
  </si>
  <si>
    <t xml:space="preserve">No Journal on Interactive Systems, descubra em quais páginas do volume de 2025 está publicado o artigo "Kahoot as a data collection tool to work with school age children".</t>
  </si>
  <si>
    <t xml:space="preserve">227–235</t>
  </si>
  <si>
    <t xml:space="preserve">S: 227 a 235. P: chega ao artigo, mas dá as páginas de um vizinho. F: não chega ao volume de 2025, desistência.</t>
  </si>
  <si>
    <t xml:space="preserve">EDU-3</t>
  </si>
  <si>
    <t xml:space="preserve">EduComp 2026 — Comitê de programa</t>
  </si>
  <si>
    <t xml:space="preserve">https://educomp.sbc.org.br/2026/educomp/equipes/comite-programa.html</t>
  </si>
  <si>
    <t xml:space="preserve">No comitê de programa do EduComp 2026, descubra de quais instituições são os coordenadores da Trilha 2, Relatos de experiência.</t>
  </si>
  <si>
    <t xml:space="preserve">UEA e UFRR (Fernanda Pires — UEA; Luciano Ferreira — UFRR)</t>
  </si>
  <si>
    <t xml:space="preserve">S: as duas instituições. P: só uma, ou os nomes sem as instituições. F: instituições de outra trilha, desistência.</t>
  </si>
  <si>
    <t xml:space="preserve">Trocar para o perfil C · Bloco 3b — grupo G2, COM extensão, variante A</t>
  </si>
  <si>
    <t xml:space="preserve">Sessão 2 · Bloco 3b</t>
  </si>
  <si>
    <t xml:space="preserve">SBC-1</t>
  </si>
  <si>
    <t xml:space="preserve">SBC — Associe-se</t>
  </si>
  <si>
    <t xml:space="preserve">https://www.sbc.org.br/</t>
  </si>
  <si>
    <t xml:space="preserve">No site da SBC, descubra qual é o valor atual da anuidade para a categoria Associado ou Associada Estudante de Pós-graduação.</t>
  </si>
  <si>
    <t xml:space="preserve">R$ 142,00</t>
  </si>
  <si>
    <t xml:space="preserve">S: R$ 142,00. P: chega à tabela de anuidades, mas lê o valor de outra linha. F: valor desatualizado da notícia de 2017 (R$ 70, 75, 175 ou 195), não chega à tabela, desistência.</t>
  </si>
  <si>
    <t xml:space="preserve">SBC-2</t>
  </si>
  <si>
    <t xml:space="preserve">SBC — Secretarias Regionais</t>
  </si>
  <si>
    <t xml:space="preserve">No site da SBC, descubra quem é o secretário ou a secretária regional da SBC em Pernambuco.</t>
  </si>
  <si>
    <t xml:space="preserve">Kiev Gama</t>
  </si>
  <si>
    <t xml:space="preserve">S: "Kiev Gama". P: lê outra coluna da linha certa, ou dá a secretária adjunta (Taciana Pontual Falcão, na página do estado). F: nome de outro estado, não chega à tabela, desistência.</t>
  </si>
  <si>
    <t xml:space="preserve">Bloco 4a — grupo G1, COM extensão (perfil C), variante B</t>
  </si>
  <si>
    <t xml:space="preserve">Sessão 2 · Bloco 4a</t>
  </si>
  <si>
    <t xml:space="preserve">No Journal on Interactive Systems, descubra em quais páginas do volume de 2025 está publicado o artigo "Evaluating a Serious Game for Math: Is it Useful and Fun?".</t>
  </si>
  <si>
    <t xml:space="preserve">199–212</t>
  </si>
  <si>
    <t xml:space="preserve">S: 199 a 212. P: chega ao artigo, mas dá as páginas de um vizinho. F: não chega ao volume de 2025, desistência.</t>
  </si>
  <si>
    <t xml:space="preserve">No comitê de programa do EduComp 2026, descubra de quais instituições são os coordenadores da Trilha 4, Recursos e ambientes educacionais.</t>
  </si>
  <si>
    <t xml:space="preserve">UFMG e UFJF (Eduardo Figueiredo — UFMG; Ronney Castro — UFJF)</t>
  </si>
  <si>
    <t xml:space="preserve">Trocar para o perfil S · Bloco 4b — grupo G2, SEM extensão, variante B · entrevista curta (5 min)</t>
  </si>
  <si>
    <t xml:space="preserve">Sessão 2 · Bloco 4b</t>
  </si>
  <si>
    <t xml:space="preserve">No site da SBC, descubra qual é o valor atual da anuidade para a categoria Associado ou Associada Efetivo/Fundador.</t>
  </si>
  <si>
    <t xml:space="preserve">R$ 394,00</t>
  </si>
  <si>
    <t xml:space="preserve">S: R$ 394,00. P: chega à tabela, mas lê o valor de outra linha. F: valor desatualizado da notícia de 2017 (R$ 70, 75, 175 ou 195), não chega à tabela, desistência.</t>
  </si>
  <si>
    <t xml:space="preserve">No site da SBC, descubra quem é o secretário ou a secretária regional da SBC em Roraima.</t>
  </si>
  <si>
    <t xml:space="preserve">Herbert Rocha</t>
  </si>
  <si>
    <t xml:space="preserve">S: "Herbert Rocha". P: lê outra coluna da linha certa. F: nome de outro estado, não chega à tabela, desistência.</t>
  </si>
  <si>
    <t xml:space="preserve">Resumo (calculado a partir do Roteiro)</t>
  </si>
  <si>
    <t xml:space="preserve">Uma avaliadora: relatar os valores por tarefa e as contagens; médias são só descritivas. Só entram linhas com resultado S, P ou F. Tempos em segundos.</t>
  </si>
  <si>
    <t xml:space="preserve">Execuções com resultado</t>
  </si>
  <si>
    <t xml:space="preserve">Sucesso (S)</t>
  </si>
  <si>
    <t xml:space="preserve">Parcial (P)</t>
  </si>
  <si>
    <t xml:space="preserve">Falha (F)</t>
  </si>
  <si>
    <t xml:space="preserve">Taxa de sucesso</t>
  </si>
  <si>
    <t xml:space="preserve">Tempo total médio</t>
  </si>
  <si>
    <t xml:space="preserve">Tempo líquido médio</t>
  </si>
  <si>
    <t xml:space="preserve">SEQ médio</t>
  </si>
  <si>
    <t xml:space="preserve">Acima do teto</t>
  </si>
  <si>
    <t xml:space="preserve">Por tarefa (variantes A e B nas duas condições; a tarefa vem do Roteiro, então uma troca feita lá aparece aqui)</t>
  </si>
  <si>
    <t xml:space="preserve">Conjunto</t>
  </si>
  <si>
    <t xml:space="preserve">Grupo</t>
  </si>
  <si>
    <t xml:space="preserve">Efeito previsto</t>
  </si>
  <si>
    <t xml:space="preserve">Resultado S</t>
  </si>
  <si>
    <t xml:space="preserve">Resultado C</t>
  </si>
  <si>
    <t xml:space="preserve">Tempo total S</t>
  </si>
  <si>
    <t xml:space="preserve">Tempo total C</t>
  </si>
  <si>
    <t xml:space="preserve">Diferença C − S</t>
  </si>
  <si>
    <t xml:space="preserve">Tempo líquido S</t>
  </si>
  <si>
    <t xml:space="preserve">Tempo líquido C</t>
  </si>
  <si>
    <t xml:space="preserve">Diferença líquida C − S</t>
  </si>
  <si>
    <t xml:space="preserve">SEQ S</t>
  </si>
  <si>
    <t xml:space="preserve">SEQ C</t>
  </si>
  <si>
    <t xml:space="preserve">Aprendizagem estimada pelos controles do núcleo (s, tempo líquido)</t>
  </si>
  <si>
    <t xml:space="preserve">O controle do grupo G1 (S primeiro) tem C − S ≈ −aprendizagem; o do G2 (C primeiro), C − S ≈ +aprendizagem. Estimativa grosseira: duas tarefas diferentes, uma execução cada.</t>
  </si>
  <si>
    <t xml:space="preserve">ID</t>
  </si>
  <si>
    <t xml:space="preserve">Objetivo</t>
  </si>
  <si>
    <t xml:space="preserve">Por que (previsão)</t>
  </si>
  <si>
    <t xml:space="preserve">Páginas no caminho</t>
  </si>
  <si>
    <t xml:space="preserve">Estimativa S (s)</t>
  </si>
  <si>
    <t xml:space="preserve">Estimativa C (s)</t>
  </si>
  <si>
    <t xml:space="preserve">Ação A</t>
  </si>
  <si>
    <t xml:space="preserve">Saída esperada A</t>
  </si>
  <si>
    <t xml:space="preserve">Critério A</t>
  </si>
  <si>
    <t xml:space="preserve">Ação B</t>
  </si>
  <si>
    <t xml:space="preserve">Saída esperada B</t>
  </si>
  <si>
    <t xml:space="preserve">Critério B</t>
  </si>
  <si>
    <t xml:space="preserve">Caminho esperado</t>
  </si>
  <si>
    <t xml:space="preserve">Riscos e cuidados</t>
  </si>
  <si>
    <t xml:space="preserve">Núcleo</t>
  </si>
  <si>
    <t xml:space="preserve">G1</t>
  </si>
  <si>
    <t xml:space="preserve">Buscar um artigo na SOL e dizer o primeiro autor</t>
  </si>
  <si>
    <t xml:space="preserve">baixo</t>
  </si>
  <si>
    <t xml:space="preserve">Baixo. O campo "Título" já tem rótulo. A extensão nomeia o campo sem rótulo e os selects de data pelo atributo name ("Query", "Field 7 from Month") e acrescenta "(abre em nova aba)" aos links de resultado; não trata a base obrigatória com aviso só visual, que é a barreira real.</t>
  </si>
  <si>
    <t xml:space="preserve">Busca integrada: marcar a caixa "Anais de Eventos" → campo "Título" → digitar parte do título e Enter → na página de resultados, ler a linha de autores do item.</t>
  </si>
  <si>
    <t xml:space="preserve">As respostas foram conferidas no sumário do IHC 2025 (cópia do Wayback de 22/10/2026), não no resultado da busca ao vivo: o servidor sol.sbc.org.br recusa conexões desta rede desde a exploração. Conferir no piloto que a busca pelo título traz o artigo no topo. Registrar se ela tentou enviar sem marcar a base e se abriu o artigo na nova aba. Espaçar as tarefas da SOL; reserva: SOL-4 (servidor books-sol).</t>
  </si>
  <si>
    <t xml:space="preserve">G2</t>
  </si>
  <si>
    <t xml:space="preserve">Dizer em que trilha dos anais do IHC 2025 está um artigo</t>
  </si>
  <si>
    <t xml:space="preserve">controle</t>
  </si>
  <si>
    <t xml:space="preserve">Nenhum (controle). Trilhas são h2 e títulos são links com texto. A extensão só muda contraste e expõe um link "Buscar" oculto, fora do caminho.</t>
  </si>
  <si>
    <t xml:space="preserve">Busca do NVDA por parte do título → Shift+H até o cabeçalho de nível 2 da trilha (ou abrir o artigo e ler "Você está aqui").</t>
  </si>
  <si>
    <t xml:space="preserve">Mesmo servidor da SOL-1. Posição absoluta diferente (A é o 4º item da página, B o 21º): registrar a estratégia (busca de texto, lista de links, leitura linear).</t>
  </si>
  <si>
    <t xml:space="preserve">Achar o ISSN de um periódico na Lista A–Z</t>
  </si>
  <si>
    <t xml:space="preserve">Baixo (nulo a levemente negativo). É a página com a maior queda do axe no Estudo 1 (172 → 40), mas o caminho quase não muda: o rótulo enganoso "Olá." do campo continua e a tabela de detalhes já é acessível. A extensão renomeia botões que tinham bom nome ("Exibir lista", "Página seguinte") para "Acionar botão N", fora do caminho.</t>
  </si>
  <si>
    <t xml:space="preserve">Campo de busca da lista (anunciado "Olá.") → digitar o título e Enter → link do resultado único → tabela de detalhes, linha "ISSN".</t>
  </si>
  <si>
    <t xml:space="preserve">O cabeçalho do detalhe e o botão "Acesse" levam ao SciELO (outro site, outro ISSN). Fechar o banner de cookies antes de cronometrar, nas duas condições.</t>
  </si>
  <si>
    <t xml:space="preserve">E-mail do suporte regional (mapa de botões sem nome)</t>
  </si>
  <si>
    <t xml:space="preserve">Baixo. Os 5 botões do mapa não têm nome (button-name crítico); a extensão lhes dá "Acionar botão N", sem a região, que continua só dentro do menu fechado. Mede o defeito D-7 numa barreira que a extensão diz corrigir.</t>
  </si>
  <si>
    <t xml:space="preserve">Cabeçalho "Atendimento por região" → percorrer os 5 botões do mapa abrindo cada menu até ouvir a região pedida → ler nome e e-mail.</t>
  </si>
  <si>
    <t xml:space="preserve">Janela maximizada (≥ 1280 px) e zoom 100%: abaixo de 768 px CSS aparece uma lista alternativa e a barreira some. E-mails pessoais podem mudar: rodar o conferir na véspera. Anotar quantos menus foram abertos. A variante A (Centro-Oeste, 3º botão) fica antes da B (Sudeste, 4º) no mapa e é feita com a extensão, para não somar a vantagem de posição à da aprendizagem, que favorece S neste grupo.</t>
  </si>
  <si>
    <t xml:space="preserve">Dia, horário e sala em que um trabalho foi apresentado</t>
  </si>
  <si>
    <t xml:space="preserve">Baixo, provavelmente negativo. Os links do caminho já têm texto. A extensão remove o aria-hidden de cerca de 120 ícones decorativos da página Sessões Técnicas, que passam a ser lidos como "gráfico" justamente na lista Data/Horário/Sala (defeito D-6).</t>
  </si>
  <si>
    <t xml:space="preserve">Início → "Programação" → "Sessões Técnicas" → busca do NVDA por uma palavra do título → Shift+H até o tema da sessão → lista Data/Horário/Coordenador/Sala.</t>
  </si>
  <si>
    <t xml:space="preserve">A Programação oferece "Programação Acessível" em DOCX/PDF: a instrução diz "sem baixar arquivos". Títulos longos: permitir repetir a instrução e contar as repetições. Os alvos são o 3º de 4 trabalhos em sessões de mesma estrutura.</t>
  </si>
  <si>
    <t xml:space="preserve">Qual sessão técnica aconteceu num dia e horário (abas + tabela)</t>
  </si>
  <si>
    <t xml:space="preserve">Nenhum (controle). Abas ARIA e tabela com cabeçalho já acessíveis; a extensão não as altera. Estima o custo fixo de usar a extensão sem benefício possível.</t>
  </si>
  <si>
    <t xml:space="preserve">Lista de abas → ativar a aba do dia → T até a tabela → linha "10h30 – 12h" → célula da sessão técnica.</t>
  </si>
  <si>
    <t xml:space="preserve">A busca do NVDA não acha conteúdo de abas fechadas. Erro previsível de aba (segunda, aberta por padrão) é igual em A e B.</t>
  </si>
  <si>
    <t xml:space="preserve">Qual empresa patrocina uma categoria (logo sem nome)</t>
  </si>
  <si>
    <t xml:space="preserve">negativo</t>
  </si>
  <si>
    <t xml:space="preserve">Alto, NEGATIVO. O logo é um link com &lt;img alt=""&gt; e sem nome; sem a extensão o NVDA tende a anunciar o endereço (scherm.com.br, qualcomm.com), o que basta. Com a extensão o link ganha nome genérico ("Abrir link 19" ou "Abrir link 11" pelo painel; o cabeçalho anterior, "COBRE" ou "OURO", no modo automático), que esconde o endereço. Mede o defeito D-7.</t>
  </si>
  <si>
    <t xml:space="preserve">Lista de cabeçalhos → "COBRE" (B: "OURO") → seta para baixo até o link do logo → ouvir o anúncio; se não identificar, NVDA+K ou seguir o link e ouvir o título do site.</t>
  </si>
  <si>
    <t xml:space="preserve">Só usar se o piloto confirmar que o NVDA da avaliadora anuncia o endereço de um link sem nome no Chrome; se não anunciar, trocar pela reserva IHC-3. Assimetria: Qualcomm é marca conhecida, Scherm não; por isso a variante mais difícil (A, Scherm) é feita sem a extensão (grupo G1), e tanto a variante quanto a aprendizagem jogam contra o efeito negativo previsto. Sites externos não recebem o Accessify.</t>
  </si>
  <si>
    <t xml:space="preserve">Quem coordena uma chamada (links "Saiba mais")</t>
  </si>
  <si>
    <t xml:space="preserve">positivo</t>
  </si>
  <si>
    <t xml:space="preserve">Baixo, POSITIVO. Os 7 links "Saiba mais" iguais passam a "Saiba mais: Minicursos", "Saiba mais: Mesas temáticas"… Só ajuda se ela usar a lista de links ou o Tab; por cabeçalhos ou pelo menu CHAMADAS a diferença some.</t>
  </si>
  <si>
    <t xml:space="preserve">Cabeçalho do cartão da chamada → link "Saiba mais" (ou lista de links) → página da chamada, linha "Coordenação:" logo após o h1.</t>
  </si>
  <si>
    <t xml:space="preserve">A página inicial chama o modelo para o logo: com o modelo padrão (qwen3:8b, raciocínio original) o alt gravado pode ser o raciocínio do modelo (D-8). Registrar a estratégia usada.</t>
  </si>
  <si>
    <t xml:space="preserve">Complementar</t>
  </si>
  <si>
    <t xml:space="preserve">Valor da anuidade de uma categoria (tabela sem cabeçalho)</t>
  </si>
  <si>
    <t xml:space="preserve">Baixo, POSITIVO. A 1ª linha da tabela vira th, e o NVDA passa a anunciar "Valor da Anuidade" ao mudar de coluna; "Saiba mais" ganha contexto. Do lado negativo: o skip link inserido aponta para o topo da página, o logo vira "Abrir link 1" e a página inicial chama o modelo para imagens.</t>
  </si>
  <si>
    <t xml:space="preserve">Lista de links → "Sua Associação" (ou "Saiba mais" de "Seja Associado(a)") → T até a tabela (10×3) → linha da categoria → coluna 3.</t>
  </si>
  <si>
    <t xml:space="preserve">A SBC pode publicar os valores de 2027 na campanha de renovação (dezembro, pelo histórico): rodar o conferir na véspera. Registrar se ela usou a busca do site.</t>
  </si>
  <si>
    <t xml:space="preserve">Quem é o secretário regional de um estado (tabela sem cabeçalho)</t>
  </si>
  <si>
    <t xml:space="preserve">Baixo, POSITIVO. A 1ª linha vira th e o NVDA anuncia "Secretário (a) Regional" ao entrar na coluna 2. Custos: skip link para o topo, rótulos genéricos no logo e na busca.</t>
  </si>
  <si>
    <t xml:space="preserve">Lista de links → "Sobre as Secretarias" → busca do NVDA pelo estado → Ctrl+Alt+seta para a direita (coluna 2).</t>
  </si>
  <si>
    <t xml:space="preserve">As páginas de cada estado podem divergir da tabela (na Paraíba divergem): a tabela é a referência. Rodar o conferir na véspera.</t>
  </si>
  <si>
    <t xml:space="preserve">Instituições dos coordenadores de uma trilha (tabela de dados sem th)</t>
  </si>
  <si>
    <t xml:space="preserve">Baixo, POSITIVO. A linha "Nome | Instituição" vira th e o NVDA anuncia "Instituição" ao mudar de coluna. Tabela pequena (3×2): lendo a linha inteira, a diferença some.</t>
  </si>
  <si>
    <t xml:space="preserve">Lista de cabeçalhos → "Trilha 2 - Relatos de experiência" (B: "Trilha 4 - …") → T → ler as duas linhas.</t>
  </si>
  <si>
    <t xml:space="preserve">Tarefa curta: a operação do painel pesa proporcionalmente mais.</t>
  </si>
  <si>
    <t xml:space="preserve">Páginas de um artigo no volume de 2025 do JIS</t>
  </si>
  <si>
    <t xml:space="preserve">Nenhum a baixo. A inicial do JIS teve 146 violações no axe, a pior entre as páginas iniciais do estrato D (a Lista A–Z da CAPES, página de tarefa, teve 172), mas para leitor de tela é bem estruturada: o número superestima a barreira. A extensão mexe em contraste, no logo e em métricas da barra lateral, fora do caminho; o logo sem alt vai ao modelo em toda página.</t>
  </si>
  <si>
    <t xml:space="preserve">"Regular Issues" (arquivo) → "Vol. 16 No. 1 (2025)" → busca do NVDA por "Kahoot" (B: "Math") → seta para baixo (autores, páginas).</t>
  </si>
  <si>
    <t xml:space="preserve">A busca do JIS leva à SOL (outro servidor). Página em inglês: o NVDA pode trocar de voz, igual nas duas condições.</t>
  </si>
  <si>
    <t xml:space="preserve">SOL-4</t>
  </si>
  <si>
    <t xml:space="preserve">Reserva</t>
  </si>
  <si>
    <t xml:space="preserve">SOL Livros — série de IHC</t>
  </si>
  <si>
    <t xml:space="preserve">https://books-sol.sbc.org.br/index.php/sbc/catalog/series/ppcihc</t>
  </si>
  <si>
    <t xml:space="preserve">ISBN de um livro da série de IHC (substitui SOL-1 se a SOL estiver fora do ar)</t>
  </si>
  <si>
    <t xml:space="preserve">Baixo, possivelmente negativo. As capas são links sem nome; a extensão as rotula com nome genérico (painel) ou com o cabeçalho do livro anterior (modo automático), o que pode levar ao livro errado pela lista de links.</t>
  </si>
  <si>
    <t xml:space="preserve">Na série de livros "Perspectivas e Práticas Contemporâneas em IHC", da SOL, encontre o livro "Minicursos do IHC 2024" e diga o ISBN dele.</t>
  </si>
  <si>
    <t xml:space="preserve">978-85-7669-623-0</t>
  </si>
  <si>
    <t xml:space="preserve">S: o ISBN completo (hífens opcionais). P: página certa, com um dígito trocado, ou o DOI no lugar do ISBN. F: ISBN de outro livro (registrar se seguiu um link de capa), desistência.</t>
  </si>
  <si>
    <t xml:space="preserve">Na série de livros "Perspectivas e Práticas Contemporâneas em IHC", da SOL, encontre o livro "Minicursos do IHC 2023" e diga o ISBN dele.</t>
  </si>
  <si>
    <t xml:space="preserve">978-85-7669-604-9</t>
  </si>
  <si>
    <t xml:space="preserve">S: o ISBN completo. P: página certa, com um dígito trocado, ou o DOI. F: ISBN de outro livro, desistência.</t>
  </si>
  <si>
    <t xml:space="preserve">Tecla 3 até o título do livro → página do livro → cabeçalho "ISBN-13 (15)".</t>
  </si>
  <si>
    <t xml:space="preserve">Servidor books-sol, diferente do sol.sbc.org.br. Ler ISBN em voz alta é sujeito a erro de dígito. No modo automático, cada capa herda o título do livro anterior: pela lista de links, "Minicursos do IHC 2023" pode levar ao livro de 2024 (B) e "Minicursos do IHC 2024" a "Práticas de IHC em Sala de Aula" (A); classificar como falha induzida pela extensão.</t>
  </si>
  <si>
    <t xml:space="preserve">CAPES-3</t>
  </si>
  <si>
    <t xml:space="preserve">gov.br/capes — Valores de Bolsas</t>
  </si>
  <si>
    <t xml:space="preserve">https://www.gov.br/capes/pt-br/acesso-a-informacao/acoes-e-programas/bolsas</t>
  </si>
  <si>
    <t xml:space="preserve">Valor de uma bolsa no exterior (tabela)</t>
  </si>
  <si>
    <t xml:space="preserve">Baixo. As tabelas já têm th; o que atrapalha (títulos de seção que não são cabeçalhos, sumário com âncoras quebradas) não é tratado. 5 links vazios viram "Abrir link N".</t>
  </si>
  <si>
    <t xml:space="preserve">No site da CAPES, descubra o valor mensal da bolsa de Professor Visitante Sênior no exterior, em dólar canadense.</t>
  </si>
  <si>
    <t xml:space="preserve">3.060,00 dólares canadenses</t>
  </si>
  <si>
    <t xml:space="preserve">S: 3.060 (também vale o mesmo valor lido na seção histórica "Professor/Pesquisador Visitante no Exterior", linha Mensalidade). P: linha certa e coluna vizinha (3.420,00 ou 1.900,00), ou moeda errada. F: valor em reais (bolsa no país), desistência.</t>
  </si>
  <si>
    <t xml:space="preserve">No site da CAPES, descubra o valor mensal da bolsa de Professor Visitante Júnior Pós-Doutorado no exterior, em dólar canadense.</t>
  </si>
  <si>
    <t xml:space="preserve">2.660,00 dólares canadenses</t>
  </si>
  <si>
    <t xml:space="preserve">S: 2.660 (também vale o valor lido em "Estágio Pós-Doutoral", linha Mensalidade). P: linha certa e coluna vizinha (3.000,00 ou 1.700,00), ou moeda errada. F: valor em reais, desistência.</t>
  </si>
  <si>
    <t xml:space="preserve">"Prestação de Contas" → "Valores de Bolsas" → 2ª tabela ("Valores das bolsas no exterior") → linha → coluna "Dólar Canadense".</t>
  </si>
  <si>
    <t xml:space="preserve">Página com 44 tabelas; gov.br devolveu 429 após poucas requisições na exploração.</t>
  </si>
  <si>
    <t xml:space="preserve">IHC-3</t>
  </si>
  <si>
    <t xml:space="preserve">IHC 2025 — página inicial</t>
  </si>
  <si>
    <t xml:space="preserve">https://ihc.sbc.org.br/2025/</t>
  </si>
  <si>
    <t xml:space="preserve">Dia e hora de início de uma sessão especial (substitui CSBC-2)</t>
  </si>
  <si>
    <t xml:space="preserve">Baixo. Os 3 "Saiba mais" iguais ganham contexto (ajuda pela lista de links); as sobreposições dos cartões viram "Abrir link N".</t>
  </si>
  <si>
    <t xml:space="preserve">No site do IHC 2025, descubra em que dia e a que horas começou a sessão de apresentações do Prêmio Junia Coutinho Anacleto.</t>
  </si>
  <si>
    <t xml:space="preserve">Terça-feira, 09/09/2025, às 8h</t>
  </si>
  <si>
    <t xml:space="preserve">S: dia (terça ou 09/09) + início às 8h. P: só o dia ou só a hora. F: outro dia ou hora, desistência.</t>
  </si>
  <si>
    <t xml:space="preserve">No site do IHC 2025, descubra em que dia e a que horas começou a Sessão 1 de Pôsteres e Demonstrações.</t>
  </si>
  <si>
    <t xml:space="preserve">Segunda-feira, 08/09/2025, às 15h30</t>
  </si>
  <si>
    <t xml:space="preserve">S: dia (segunda ou 08/09) + início às 15h30. P: só o dia ou só a hora. F: dados da Sessão 2 (09/09), "data a ser definida", desistência.</t>
  </si>
  <si>
    <t xml:space="preserve">Cabeçalho do cartão → "Saiba mais" → cabeçalho "Programação" → h4 com dia e hora.</t>
  </si>
  <si>
    <t xml:space="preserve">Página da amostra do Estudo 1 (axe 19 → 2). Rota alternativa pela Programação dá as mesmas respostas: registrar a rota.</t>
  </si>
  <si>
    <t xml:space="preserve">IHC-4</t>
  </si>
  <si>
    <t xml:space="preserve">IHC 2026 — Local</t>
  </si>
  <si>
    <t xml:space="preserve">Distância de um hotel recomendado até a UFC</t>
  </si>
  <si>
    <t xml:space="preserve">Baixo, provavelmente negativo: ícones decorativos viram "gráfico" no cartão; links de mapa só com ícone viram "Abrir link N".</t>
  </si>
  <si>
    <t xml:space="preserve">No site do IHC 2026, descubra a que distância da UFC fica o Hotel Pedra dos Ventos, segundo a lista de hotéis do evento.</t>
  </si>
  <si>
    <t xml:space="preserve">23 km</t>
  </si>
  <si>
    <t xml:space="preserve">S: 23 km. P: acha o hotel, mas não a distância. F: distância de outro hotel, desistência.</t>
  </si>
  <si>
    <t xml:space="preserve">No site do IHC 2026, descubra a que distância da UFC fica o Cedro Palace Hotel, segundo a lista de hotéis do evento.</t>
  </si>
  <si>
    <t xml:space="preserve">5,2 km</t>
  </si>
  <si>
    <t xml:space="preserve">S: 5,2 km. P: acha o hotel, mas não a distância, ou arredonda para 5 km. F: distância de outro hotel, desistência.</t>
  </si>
  <si>
    <t xml:space="preserve">"Local" → busca do NVDA pelo nome do hotel (ou tecla 4) → lista do cartão, 4º item.</t>
  </si>
  <si>
    <t xml:space="preserve">A página Local pode ser editada ou sair do menu depois do evento.</t>
  </si>
  <si>
    <t xml:space="preserve">IHC-5</t>
  </si>
  <si>
    <t xml:space="preserve">IHC 2025 — Inscrições</t>
  </si>
  <si>
    <t xml:space="preserve">Valor de uma categoria de inscrição (somente IHC, 1º prazo)</t>
  </si>
  <si>
    <t xml:space="preserve">Baixo: a dificuldade é de conteúdo (Combo e Somente IHC repetem as categorias). A extensão acrescenta "gráfico" perto dos cartões.</t>
  </si>
  <si>
    <t xml:space="preserve">No site do IHC 2025, descubra o valor da inscrição somente no IHC, sem o INTERACT, para a categoria Profissional associado à SBC com anuidade vigente, no prazo até 7 de julho.</t>
  </si>
  <si>
    <t xml:space="preserve">R$ 450,00</t>
  </si>
  <si>
    <t xml:space="preserve">S: R$ 450,00. P: categoria certa, outro prazo. F: valor do Combo IHC + INTERACT ou de outra categoria, desistência.</t>
  </si>
  <si>
    <t xml:space="preserve">No site do IHC 2025, descubra o valor da inscrição somente no IHC, sem o INTERACT, para a categoria Estudante de pós-graduação associado à SBC com anuidade vigente, no prazo até 7 de julho.</t>
  </si>
  <si>
    <t xml:space="preserve">R$ 290,00</t>
  </si>
  <si>
    <t xml:space="preserve">S: R$ 290,00. P: categoria certa, outro prazo (R$ 320,00, 390,00 ou 440,00). F: Combo (R$ 700,00), outra categoria, desistência.</t>
  </si>
  <si>
    <t xml:space="preserve">"Inscrições" → cabeçalho "Somente Inscrição no IHC" → h4 da categoria → h5 "… com anuidade vigente" → "Até 07/07".</t>
  </si>
  <si>
    <t xml:space="preserve">Instrução com 4 restrições: permitir repetir e contar as repetições.</t>
  </si>
  <si>
    <t xml:space="preserve">CSBC-1</t>
  </si>
  <si>
    <t xml:space="preserve">CSBC 2026 — Programação Geral</t>
  </si>
  <si>
    <t xml:space="preserve">Horário de uma atividade na programação (controle)</t>
  </si>
  <si>
    <t xml:space="preserve">Nenhum (controle): abas e itens já têm nome.</t>
  </si>
  <si>
    <t xml:space="preserve">No site do CSBC 2026, descubra a que horas começou a Cerimônia de Abertura, que aconteceu na segunda-feira, 20 de julho.</t>
  </si>
  <si>
    <t xml:space="preserve">19h (19:00–20:00, Sala Hortênsia Central)</t>
  </si>
  <si>
    <t xml:space="preserve">S: 19h. P: lê o horário vizinho (18:30 ou 20:30) ou confunde com o Coquetel de Abertura. F: outro horário sem localizar o item, desistência.</t>
  </si>
  <si>
    <t xml:space="preserve">No site do CSBC 2026, descubra a que horas começou o Jantar do Evento, que aconteceu na quarta-feira, 22 de julho.</t>
  </si>
  <si>
    <t xml:space="preserve">20h</t>
  </si>
  <si>
    <t xml:space="preserve">S: 20h (Programação Geral ou página do Jantar). P: lê o horário vizinho, ou 19h da página do WIT (fonte divergente do próprio site). F: outro horário sem localizar o item, desistência.</t>
  </si>
  <si>
    <t xml:space="preserve">"Programação" → aba do dia → busca do NVDA por "Cerimônia" (B: "Jantar") → seta para cima até o horário.</t>
  </si>
  <si>
    <t xml:space="preserve">Itens da programação são "botões" que não fazem nada.</t>
  </si>
  <si>
    <t xml:space="preserve">JIS-2</t>
  </si>
  <si>
    <t xml:space="preserve">JIS — diretrizes para autores</t>
  </si>
  <si>
    <t xml:space="preserve">Uma regra das diretrizes do JIS (controle; substitui SOL-2 se a SOL estiver fora do ar)</t>
  </si>
  <si>
    <t xml:space="preserve">Nenhum (controle): cabeçalhos e listas corretos; menu já acessível.</t>
  </si>
  <si>
    <t xml:space="preserve">Nas diretrizes para autores do Journal on Interactive Systems, descubra quantas contribuições originais, no máximo, a carta de apresentação deve listar.</t>
  </si>
  <si>
    <t xml:space="preserve">Até cinco</t>
  </si>
  <si>
    <t xml:space="preserve">S: "até cinco", depois de a gravação mostrar o NVDA lendo o trecho. P: chega às diretrizes e dá outro número. F: não encontra as diretrizes, desistência.</t>
  </si>
  <si>
    <t xml:space="preserve">Nas diretrizes para autores do Journal on Interactive Systems, descubra por quantos especialistas independentes os manuscritos submetidos costumam ser avaliados.</t>
  </si>
  <si>
    <t xml:space="preserve">Três</t>
  </si>
  <si>
    <t xml:space="preserve">S: "três", depois de a gravação mostrar o NVDA lendo o trecho. P: chega às diretrizes e dá outro número. F: não encontra as diretrizes, desistência.</t>
  </si>
  <si>
    <t xml:space="preserve">Menu "Submissions" → "Authors Guidelines" → cabeçalho "Cover Letter" (B: "Review Process").</t>
  </si>
  <si>
    <t xml:space="preserve">A coautora pode conhecer as diretrizes: exigir que o trecho seja lido na gravação.</t>
  </si>
  <si>
    <t xml:space="preserve">Estimativa C = estimativa S + 20 s por página no caminho (operação do painel lateral: Alt+Shift+A, ouvir o resultado, "Aplicar Otimizações", voltar à página) + contorno previsto (CSBC-2: +50 s). Estimativas S: tempo de uma usuária experiente de NVDA, revisto pelo verificador de cada tarefa. No modo automático, somar ≈ 3 s por página.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</si>
</sst>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305496"/>
        <bgColor rgb="FF666699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0549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23.85" hidden="false" customHeight="false" outlineLevel="0" collapsed="false">
      <c r="A1" s="1" t="s">
        <v>0</v>
      </c>
      <c r="B1" s="2" t="s">
        <v>1</v>
      </c>
    </row>
    <row r="2" customFormat="false" ht="46.25" hidden="false" customHeight="false" outlineLevel="0" collapsed="false">
      <c r="A2" s="1" t="s">
        <v>2</v>
      </c>
      <c r="B2" s="2" t="s">
        <v>3</v>
      </c>
    </row>
    <row r="3" customFormat="false" ht="35.05" hidden="false" customHeight="false" outlineLevel="0" collapsed="false">
      <c r="A3" s="1" t="s">
        <v>4</v>
      </c>
      <c r="B3" s="2" t="s">
        <v>5</v>
      </c>
    </row>
    <row r="4" customFormat="false" ht="23.85" hidden="false" customHeight="false" outlineLevel="0" collapsed="false">
      <c r="A4" s="1" t="s">
        <v>6</v>
      </c>
      <c r="B4" s="2" t="s">
        <v>7</v>
      </c>
    </row>
    <row r="5" customFormat="false" ht="35.05" hidden="false" customHeight="false" outlineLevel="0" collapsed="false">
      <c r="A5" s="1" t="s">
        <v>8</v>
      </c>
      <c r="B5" s="2" t="s">
        <v>9</v>
      </c>
    </row>
    <row r="6" customFormat="false" ht="23.8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1" t="s">
        <v>14</v>
      </c>
      <c r="B8" s="2" t="s">
        <v>15</v>
      </c>
    </row>
    <row r="9" customFormat="false" ht="23.85" hidden="false" customHeight="false" outlineLevel="0" collapsed="false">
      <c r="A9" s="1" t="s">
        <v>16</v>
      </c>
      <c r="B9" s="2" t="s">
        <v>17</v>
      </c>
    </row>
    <row r="10" customFormat="false" ht="23.85" hidden="false" customHeight="false" outlineLevel="0" collapsed="false">
      <c r="A10" s="1" t="s">
        <v>18</v>
      </c>
      <c r="B10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3" t="s">
        <v>20</v>
      </c>
    </row>
    <row r="3" customFormat="false" ht="15" hidden="false" customHeight="false" outlineLevel="0" collapsed="false">
      <c r="A3" s="1" t="s">
        <v>21</v>
      </c>
      <c r="B3" s="4"/>
    </row>
    <row r="4" customFormat="false" ht="15" hidden="false" customHeight="false" outlineLevel="0" collapsed="false">
      <c r="A4" s="1" t="s">
        <v>22</v>
      </c>
      <c r="B4" s="4"/>
    </row>
    <row r="5" customFormat="false" ht="15" hidden="false" customHeight="false" outlineLevel="0" collapsed="false">
      <c r="A5" s="1" t="s">
        <v>23</v>
      </c>
      <c r="B5" s="4"/>
    </row>
    <row r="6" customFormat="false" ht="15" hidden="false" customHeight="false" outlineLevel="0" collapsed="false">
      <c r="A6" s="1" t="s">
        <v>24</v>
      </c>
      <c r="B6" s="4"/>
    </row>
    <row r="7" customFormat="false" ht="15" hidden="false" customHeight="false" outlineLevel="0" collapsed="false">
      <c r="A7" s="1" t="s">
        <v>25</v>
      </c>
      <c r="B7" s="4"/>
    </row>
    <row r="8" customFormat="false" ht="15" hidden="false" customHeight="false" outlineLevel="0" collapsed="false">
      <c r="A8" s="1" t="s">
        <v>26</v>
      </c>
      <c r="B8" s="4"/>
    </row>
    <row r="9" customFormat="false" ht="15" hidden="false" customHeight="false" outlineLevel="0" collapsed="false">
      <c r="A9" s="1" t="s">
        <v>27</v>
      </c>
      <c r="B9" s="4"/>
    </row>
    <row r="10" customFormat="false" ht="15" hidden="false" customHeight="false" outlineLevel="0" collapsed="false">
      <c r="A10" s="1" t="s">
        <v>28</v>
      </c>
      <c r="B10" s="4"/>
    </row>
    <row r="11" customFormat="false" ht="15" hidden="false" customHeight="false" outlineLevel="0" collapsed="false">
      <c r="A11" s="1" t="s">
        <v>29</v>
      </c>
      <c r="B11" s="4"/>
    </row>
    <row r="12" customFormat="false" ht="15" hidden="false" customHeight="false" outlineLevel="0" collapsed="false">
      <c r="A12" s="1" t="s">
        <v>30</v>
      </c>
      <c r="B12" s="4"/>
    </row>
    <row r="13" customFormat="false" ht="15" hidden="false" customHeight="false" outlineLevel="0" collapsed="false">
      <c r="A13" s="1" t="s">
        <v>31</v>
      </c>
      <c r="B13" s="4"/>
    </row>
    <row r="14" customFormat="false" ht="15" hidden="false" customHeight="false" outlineLevel="0" collapsed="false">
      <c r="A14" s="1" t="s">
        <v>32</v>
      </c>
      <c r="B14" s="4" t="s">
        <v>33</v>
      </c>
    </row>
    <row r="15" customFormat="false" ht="15" hidden="false" customHeight="false" outlineLevel="0" collapsed="false">
      <c r="A15" s="1" t="s">
        <v>34</v>
      </c>
      <c r="B15" s="4" t="s">
        <v>35</v>
      </c>
    </row>
    <row r="16" customFormat="false" ht="15" hidden="false" customHeight="false" outlineLevel="0" collapsed="false">
      <c r="A16" s="1" t="s">
        <v>36</v>
      </c>
      <c r="B16" s="4"/>
    </row>
    <row r="17" customFormat="false" ht="15" hidden="false" customHeight="false" outlineLevel="0" collapsed="false">
      <c r="A17" s="1" t="s">
        <v>37</v>
      </c>
      <c r="B17" s="4" t="s">
        <v>38</v>
      </c>
    </row>
    <row r="18" customFormat="false" ht="15" hidden="false" customHeight="false" outlineLevel="0" collapsed="false">
      <c r="A18" s="1" t="s">
        <v>39</v>
      </c>
      <c r="B18" s="4"/>
    </row>
    <row r="19" customFormat="false" ht="15" hidden="false" customHeight="false" outlineLevel="0" collapsed="false">
      <c r="A19" s="1" t="s">
        <v>40</v>
      </c>
      <c r="B19" s="4" t="s">
        <v>41</v>
      </c>
    </row>
    <row r="20" customFormat="false" ht="15" hidden="false" customHeight="false" outlineLevel="0" collapsed="false">
      <c r="A20" s="1" t="s">
        <v>42</v>
      </c>
      <c r="B20" s="4"/>
    </row>
    <row r="21" customFormat="false" ht="23.85" hidden="false" customHeight="false" outlineLevel="0" collapsed="false">
      <c r="A21" s="1" t="s">
        <v>43</v>
      </c>
      <c r="B21" s="4"/>
    </row>
    <row r="22" customFormat="false" ht="15" hidden="false" customHeight="false" outlineLevel="0" collapsed="false">
      <c r="A22" s="1" t="s">
        <v>44</v>
      </c>
      <c r="B22" s="4"/>
    </row>
    <row r="23" customFormat="false" ht="15" hidden="false" customHeight="false" outlineLevel="0" collapsed="false">
      <c r="A23" s="1" t="s">
        <v>45</v>
      </c>
      <c r="B23" s="4"/>
    </row>
    <row r="25" customFormat="false" ht="15" hidden="false" customHeight="false" outlineLevel="0" collapsed="false">
      <c r="A25" s="5" t="s">
        <v>46</v>
      </c>
    </row>
    <row r="26" customFormat="false" ht="15" hidden="false" customHeight="false" outlineLevel="0" collapsed="false">
      <c r="A26" s="6" t="s">
        <v>47</v>
      </c>
      <c r="B26" s="7"/>
    </row>
    <row r="27" customFormat="false" ht="15" hidden="false" customHeight="false" outlineLevel="0" collapsed="false">
      <c r="A27" s="6" t="s">
        <v>48</v>
      </c>
      <c r="B27" s="7"/>
    </row>
    <row r="28" customFormat="false" ht="15" hidden="false" customHeight="false" outlineLevel="0" collapsed="false">
      <c r="A28" s="6" t="s">
        <v>49</v>
      </c>
      <c r="B28" s="7"/>
    </row>
    <row r="29" customFormat="false" ht="15" hidden="false" customHeight="false" outlineLevel="0" collapsed="false">
      <c r="A29" s="6" t="s">
        <v>50</v>
      </c>
      <c r="B29" s="7"/>
    </row>
    <row r="30" customFormat="false" ht="15" hidden="false" customHeight="false" outlineLevel="0" collapsed="false">
      <c r="A30" s="6" t="s">
        <v>51</v>
      </c>
      <c r="B30" s="7"/>
    </row>
    <row r="31" customFormat="false" ht="15" hidden="false" customHeight="false" outlineLevel="0" collapsed="false">
      <c r="A31" s="6" t="s">
        <v>52</v>
      </c>
      <c r="B31" s="7"/>
    </row>
    <row r="32" customFormat="false" ht="15" hidden="false" customHeight="false" outlineLevel="0" collapsed="false">
      <c r="A32" s="6" t="s">
        <v>53</v>
      </c>
      <c r="B32" s="7"/>
    </row>
    <row r="33" customFormat="false" ht="15" hidden="false" customHeight="false" outlineLevel="0" collapsed="false">
      <c r="A33" s="6" t="s">
        <v>54</v>
      </c>
      <c r="B33" s="7"/>
    </row>
    <row r="34" customFormat="false" ht="15" hidden="false" customHeight="false" outlineLevel="0" collapsed="false">
      <c r="A34" s="6" t="s">
        <v>55</v>
      </c>
      <c r="B34" s="7"/>
    </row>
  </sheetData>
  <dataValidations count="1">
    <dataValidation allowBlank="true" error="Use: nunca usei, já usei ou uso com frequência." errorStyle="stop" operator="between" showDropDown="false" showErrorMessage="true" showInputMessage="false" sqref="B26:B34" type="list">
      <formula1>"nunca usei,já usei,uso com frequência"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48"/>
    <col collapsed="false" customWidth="true" hidden="false" outlineLevel="0" max="9" min="9" style="0" width="30"/>
    <col collapsed="false" customWidth="true" hidden="false" outlineLevel="0" max="10" min="10" style="0" width="44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7" min="16" style="0" width="8"/>
    <col collapsed="false" customWidth="true" hidden="false" outlineLevel="0" max="20" min="18" style="0" width="10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9"/>
    <col collapsed="false" customWidth="true" hidden="false" outlineLevel="0" max="26" min="26" style="0" width="8"/>
    <col collapsed="false" customWidth="true" hidden="false" outlineLevel="0" max="27" min="27" style="0" width="18"/>
    <col collapsed="false" customWidth="true" hidden="false" outlineLevel="0" max="28" min="28" style="0" width="40"/>
    <col collapsed="false" customWidth="true" hidden="false" outlineLevel="0" max="29" min="29" style="0" width="30"/>
    <col collapsed="false" customWidth="true" hidden="false" outlineLevel="0" max="30" min="30" style="0" width="26"/>
    <col collapsed="false" customWidth="true" hidden="false" outlineLevel="0" max="31" min="31" style="0" width="12"/>
  </cols>
  <sheetData>
    <row r="1" customFormat="false" ht="16.15" hidden="false" customHeight="false" outlineLevel="0" collapsed="false">
      <c r="A1" s="3" t="s">
        <v>56</v>
      </c>
    </row>
    <row r="2" customFormat="false" ht="42" hidden="false" customHeight="true" outlineLevel="0" collapsed="false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54" hidden="false" customHeight="true" outlineLevel="0" collapsed="false">
      <c r="A3" s="9" t="s">
        <v>58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  <c r="J3" s="9" t="s">
        <v>67</v>
      </c>
      <c r="K3" s="9" t="s">
        <v>68</v>
      </c>
      <c r="L3" s="9" t="s">
        <v>69</v>
      </c>
      <c r="M3" s="9" t="s">
        <v>70</v>
      </c>
      <c r="N3" s="9" t="s">
        <v>71</v>
      </c>
      <c r="O3" s="9" t="s">
        <v>72</v>
      </c>
      <c r="P3" s="9" t="s">
        <v>73</v>
      </c>
      <c r="Q3" s="9" t="s">
        <v>74</v>
      </c>
      <c r="R3" s="9" t="s">
        <v>75</v>
      </c>
      <c r="S3" s="9" t="s">
        <v>76</v>
      </c>
      <c r="T3" s="9" t="s">
        <v>77</v>
      </c>
      <c r="U3" s="9" t="s">
        <v>78</v>
      </c>
      <c r="V3" s="9" t="s">
        <v>79</v>
      </c>
      <c r="W3" s="9" t="s">
        <v>80</v>
      </c>
      <c r="X3" s="9" t="s">
        <v>81</v>
      </c>
      <c r="Y3" s="9" t="s">
        <v>82</v>
      </c>
      <c r="Z3" s="9" t="s">
        <v>83</v>
      </c>
      <c r="AA3" s="9" t="s">
        <v>14</v>
      </c>
      <c r="AB3" s="9" t="s">
        <v>16</v>
      </c>
      <c r="AC3" s="9" t="s">
        <v>84</v>
      </c>
      <c r="AD3" s="9" t="s">
        <v>85</v>
      </c>
      <c r="AE3" s="9" t="s">
        <v>86</v>
      </c>
    </row>
    <row r="4" customFormat="false" ht="35.05" hidden="false" customHeight="false" outlineLevel="0" collapsed="false">
      <c r="A4" s="10" t="s">
        <v>87</v>
      </c>
      <c r="B4" s="11" t="s">
        <v>88</v>
      </c>
      <c r="C4" s="10" t="s">
        <v>89</v>
      </c>
      <c r="D4" s="10" t="s">
        <v>90</v>
      </c>
      <c r="E4" s="10" t="s">
        <v>91</v>
      </c>
      <c r="F4" s="11" t="s">
        <v>92</v>
      </c>
      <c r="G4" s="11" t="s">
        <v>93</v>
      </c>
      <c r="H4" s="11" t="s">
        <v>94</v>
      </c>
      <c r="I4" s="11" t="s">
        <v>95</v>
      </c>
      <c r="J4" s="11" t="s">
        <v>96</v>
      </c>
      <c r="K4" s="10" t="n">
        <v>70</v>
      </c>
      <c r="L4" s="12" t="s">
        <v>97</v>
      </c>
      <c r="M4" s="13" t="s">
        <v>98</v>
      </c>
      <c r="N4" s="14" t="s">
        <v>99</v>
      </c>
      <c r="O4" s="14" t="s">
        <v>100</v>
      </c>
      <c r="P4" s="15" t="n">
        <f aca="false">IF(N4="","",IF(LEN(N4)-LEN(SUBSTITUTE(N4,":",""))=2,LEFT(N4,FIND(":",N4)-1)*3600+MID(N4,FIND(":",N4)+1,2)*60+RIGHT(N4,2),LEFT(N4,FIND(":",N4)-1)*60+RIGHT(N4,2)))</f>
        <v>725</v>
      </c>
      <c r="Q4" s="15" t="n">
        <f aca="false">IF(O4="","",IF(LEN(O4)-LEN(SUBSTITUTE(O4,":",""))=2,LEFT(O4,FIND(":",O4)-1)*3600+MID(O4,FIND(":",O4)+1,2)*60+RIGHT(O4,2),LEFT(O4,FIND(":",O4)-1)*60+RIGHT(O4,2)))</f>
        <v>801</v>
      </c>
      <c r="R4" s="15" t="n">
        <f aca="false">IF(OR(P4="",Q4=""),"",Q4-P4)</f>
        <v>76</v>
      </c>
      <c r="S4" s="13" t="n">
        <v>0</v>
      </c>
      <c r="T4" s="15" t="n">
        <f aca="false">IF(R4="","",IF(AND(S4&lt;&gt;"",NOT(ISNUMBER(S4))),"painel inválido",R4-N(S4)))</f>
        <v>76</v>
      </c>
      <c r="U4" s="15" t="str">
        <f aca="false">IF(NOT(ISNUMBER(T4)),"",IF(T4&gt;300,"sim","não"))</f>
        <v>não</v>
      </c>
      <c r="V4" s="13" t="s">
        <v>101</v>
      </c>
      <c r="W4" s="13" t="n">
        <v>0</v>
      </c>
      <c r="X4" s="13" t="n">
        <v>0</v>
      </c>
      <c r="Y4" s="13" t="s">
        <v>102</v>
      </c>
      <c r="Z4" s="13" t="n">
        <v>6</v>
      </c>
      <c r="AA4" s="12" t="s">
        <v>103</v>
      </c>
      <c r="AB4" s="12" t="s">
        <v>104</v>
      </c>
      <c r="AC4" s="12" t="s">
        <v>105</v>
      </c>
      <c r="AD4" s="16" t="str">
        <f aca="false">TRIM(IF(AND(ISNUMBER(R4),R4&lt;=0),"t1 não é depois de t0; ","")&amp;IF(AND(C4="C",ISNUMBER(R4),S4=""),"falta o tempo no painel; ","")&amp;IF(AND(U4="sim",M4&lt;&gt;"F"),"acima do teto: deve ser F; ","")&amp;IF(AND(V4="s",M4&lt;&gt;"F"),"encerrada: deve ser F; ","")&amp;IF(AND(Y4="sim",M4&lt;&gt;"F"),"houve ajuda: deve ser F; ","")&amp;IF(AND(M4&lt;&gt;"",ISNUMBER(R4)=FALSE()),"falta t0 ou t1; ",""))</f>
        <v/>
      </c>
      <c r="AE4" s="17" t="str">
        <f aca="false">D4&amp;"|"&amp;C4</f>
        <v>IHC-2|—</v>
      </c>
    </row>
    <row r="5" customFormat="false" ht="15" hidden="false" customHeight="false" outlineLevel="0" collapsed="false">
      <c r="A5" s="18" t="s">
        <v>106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customFormat="false" ht="46.25" hidden="false" customHeight="false" outlineLevel="0" collapsed="false">
      <c r="A6" s="20" t="n">
        <v>1</v>
      </c>
      <c r="B6" s="21" t="s">
        <v>107</v>
      </c>
      <c r="C6" s="22" t="s">
        <v>98</v>
      </c>
      <c r="D6" s="20" t="s">
        <v>108</v>
      </c>
      <c r="E6" s="20" t="s">
        <v>91</v>
      </c>
      <c r="F6" s="21" t="s">
        <v>109</v>
      </c>
      <c r="G6" s="21" t="s">
        <v>110</v>
      </c>
      <c r="H6" s="21" t="s">
        <v>111</v>
      </c>
      <c r="I6" s="21" t="s">
        <v>112</v>
      </c>
      <c r="J6" s="21" t="s">
        <v>113</v>
      </c>
      <c r="K6" s="20" t="n">
        <v>105</v>
      </c>
      <c r="L6" s="4"/>
      <c r="M6" s="23"/>
      <c r="N6" s="24"/>
      <c r="O6" s="24"/>
      <c r="P6" s="25" t="str">
        <f aca="false">IF(N6="","",IF(LEN(N6)-LEN(SUBSTITUTE(N6,":",""))=2,LEFT(N6,FIND(":",N6)-1)*3600+MID(N6,FIND(":",N6)+1,2)*60+RIGHT(N6,2),LEFT(N6,FIND(":",N6)-1)*60+RIGHT(N6,2)))</f>
        <v/>
      </c>
      <c r="Q6" s="25" t="str">
        <f aca="false">IF(O6="","",IF(LEN(O6)-LEN(SUBSTITUTE(O6,":",""))=2,LEFT(O6,FIND(":",O6)-1)*3600+MID(O6,FIND(":",O6)+1,2)*60+RIGHT(O6,2),LEFT(O6,FIND(":",O6)-1)*60+RIGHT(O6,2)))</f>
        <v/>
      </c>
      <c r="R6" s="25" t="str">
        <f aca="false">IF(OR(P6="",Q6=""),"",Q6-P6)</f>
        <v/>
      </c>
      <c r="S6" s="23"/>
      <c r="T6" s="25" t="str">
        <f aca="false">IF(R6="","",IF(AND(S6&lt;&gt;"",NOT(ISNUMBER(S6))),"painel inválido",R6-N(S6)))</f>
        <v/>
      </c>
      <c r="U6" s="25" t="str">
        <f aca="false">IF(NOT(ISNUMBER(T6)),"",IF(T6&gt;300,"sim","não"))</f>
        <v/>
      </c>
      <c r="V6" s="23"/>
      <c r="W6" s="23"/>
      <c r="X6" s="23"/>
      <c r="Y6" s="23"/>
      <c r="Z6" s="23"/>
      <c r="AA6" s="4"/>
      <c r="AB6" s="4"/>
      <c r="AC6" s="4"/>
      <c r="AD6" s="16" t="str">
        <f aca="false">TRIM(IF(AND(ISNUMBER(R6),R6&lt;=0),"t1 não é depois de t0; ","")&amp;IF(AND(C6="C",ISNUMBER(R6),S6=""),"falta o tempo no painel; ","")&amp;IF(AND(U6="sim",M6&lt;&gt;"F"),"acima do teto: deve ser F; ","")&amp;IF(AND(V6="s",M6&lt;&gt;"F"),"encerrada: deve ser F; ","")&amp;IF(AND(Y6="sim",M6&lt;&gt;"F"),"houve ajuda: deve ser F; ","")&amp;IF(AND(M6&lt;&gt;"",ISNUMBER(R6)=FALSE()),"falta t0 ou t1; ",""))</f>
        <v/>
      </c>
      <c r="AE6" s="26" t="str">
        <f aca="false">D6&amp;"|"&amp;C6</f>
        <v>SOL-1|S</v>
      </c>
    </row>
    <row r="7" customFormat="false" ht="35.05" hidden="false" customHeight="false" outlineLevel="0" collapsed="false">
      <c r="A7" s="20" t="n">
        <v>2</v>
      </c>
      <c r="B7" s="21" t="s">
        <v>107</v>
      </c>
      <c r="C7" s="22" t="s">
        <v>98</v>
      </c>
      <c r="D7" s="20" t="s">
        <v>114</v>
      </c>
      <c r="E7" s="20" t="s">
        <v>91</v>
      </c>
      <c r="F7" s="21" t="s">
        <v>115</v>
      </c>
      <c r="G7" s="21" t="s">
        <v>116</v>
      </c>
      <c r="H7" s="21" t="s">
        <v>117</v>
      </c>
      <c r="I7" s="21" t="s">
        <v>118</v>
      </c>
      <c r="J7" s="21" t="s">
        <v>119</v>
      </c>
      <c r="K7" s="20" t="n">
        <v>90</v>
      </c>
      <c r="L7" s="4"/>
      <c r="M7" s="23"/>
      <c r="N7" s="24"/>
      <c r="O7" s="24"/>
      <c r="P7" s="25" t="str">
        <f aca="false">IF(N7="","",IF(LEN(N7)-LEN(SUBSTITUTE(N7,":",""))=2,LEFT(N7,FIND(":",N7)-1)*3600+MID(N7,FIND(":",N7)+1,2)*60+RIGHT(N7,2),LEFT(N7,FIND(":",N7)-1)*60+RIGHT(N7,2)))</f>
        <v/>
      </c>
      <c r="Q7" s="25" t="str">
        <f aca="false">IF(O7="","",IF(LEN(O7)-LEN(SUBSTITUTE(O7,":",""))=2,LEFT(O7,FIND(":",O7)-1)*3600+MID(O7,FIND(":",O7)+1,2)*60+RIGHT(O7,2),LEFT(O7,FIND(":",O7)-1)*60+RIGHT(O7,2)))</f>
        <v/>
      </c>
      <c r="R7" s="25" t="str">
        <f aca="false">IF(OR(P7="",Q7=""),"",Q7-P7)</f>
        <v/>
      </c>
      <c r="S7" s="23"/>
      <c r="T7" s="25" t="str">
        <f aca="false">IF(R7="","",IF(AND(S7&lt;&gt;"",NOT(ISNUMBER(S7))),"painel inválido",R7-N(S7)))</f>
        <v/>
      </c>
      <c r="U7" s="25" t="str">
        <f aca="false">IF(NOT(ISNUMBER(T7)),"",IF(T7&gt;300,"sim","não"))</f>
        <v/>
      </c>
      <c r="V7" s="23"/>
      <c r="W7" s="23"/>
      <c r="X7" s="23"/>
      <c r="Y7" s="23"/>
      <c r="Z7" s="23"/>
      <c r="AA7" s="4"/>
      <c r="AB7" s="4"/>
      <c r="AC7" s="4"/>
      <c r="AD7" s="16" t="str">
        <f aca="false">TRIM(IF(AND(ISNUMBER(R7),R7&lt;=0),"t1 não é depois de t0; ","")&amp;IF(AND(C7="C",ISNUMBER(R7),S7=""),"falta o tempo no painel; ","")&amp;IF(AND(U7="sim",M7&lt;&gt;"F"),"acima do teto: deve ser F; ","")&amp;IF(AND(V7="s",M7&lt;&gt;"F"),"encerrada: deve ser F; ","")&amp;IF(AND(Y7="sim",M7&lt;&gt;"F"),"houve ajuda: deve ser F; ","")&amp;IF(AND(M7&lt;&gt;"",ISNUMBER(R7)=FALSE()),"falta t0 ou t1; ",""))</f>
        <v/>
      </c>
      <c r="AE7" s="26" t="str">
        <f aca="false">D7&amp;"|"&amp;C7</f>
        <v>CAPES-1|S</v>
      </c>
    </row>
    <row r="8" customFormat="false" ht="35.05" hidden="false" customHeight="false" outlineLevel="0" collapsed="false">
      <c r="A8" s="20" t="n">
        <v>3</v>
      </c>
      <c r="B8" s="21" t="s">
        <v>107</v>
      </c>
      <c r="C8" s="22" t="s">
        <v>98</v>
      </c>
      <c r="D8" s="20" t="s">
        <v>90</v>
      </c>
      <c r="E8" s="20" t="s">
        <v>91</v>
      </c>
      <c r="F8" s="21" t="s">
        <v>92</v>
      </c>
      <c r="G8" s="21" t="s">
        <v>93</v>
      </c>
      <c r="H8" s="21" t="s">
        <v>94</v>
      </c>
      <c r="I8" s="21" t="s">
        <v>95</v>
      </c>
      <c r="J8" s="21" t="s">
        <v>96</v>
      </c>
      <c r="K8" s="20" t="n">
        <v>70</v>
      </c>
      <c r="L8" s="4"/>
      <c r="M8" s="23"/>
      <c r="N8" s="24"/>
      <c r="O8" s="24"/>
      <c r="P8" s="25" t="str">
        <f aca="false">IF(N8="","",IF(LEN(N8)-LEN(SUBSTITUTE(N8,":",""))=2,LEFT(N8,FIND(":",N8)-1)*3600+MID(N8,FIND(":",N8)+1,2)*60+RIGHT(N8,2),LEFT(N8,FIND(":",N8)-1)*60+RIGHT(N8,2)))</f>
        <v/>
      </c>
      <c r="Q8" s="25" t="str">
        <f aca="false">IF(O8="","",IF(LEN(O8)-LEN(SUBSTITUTE(O8,":",""))=2,LEFT(O8,FIND(":",O8)-1)*3600+MID(O8,FIND(":",O8)+1,2)*60+RIGHT(O8,2),LEFT(O8,FIND(":",O8)-1)*60+RIGHT(O8,2)))</f>
        <v/>
      </c>
      <c r="R8" s="25" t="str">
        <f aca="false">IF(OR(P8="",Q8=""),"",Q8-P8)</f>
        <v/>
      </c>
      <c r="S8" s="23"/>
      <c r="T8" s="25" t="str">
        <f aca="false">IF(R8="","",IF(AND(S8&lt;&gt;"",NOT(ISNUMBER(S8))),"painel inválido",R8-N(S8)))</f>
        <v/>
      </c>
      <c r="U8" s="25" t="str">
        <f aca="false">IF(NOT(ISNUMBER(T8)),"",IF(T8&gt;300,"sim","não"))</f>
        <v/>
      </c>
      <c r="V8" s="23"/>
      <c r="W8" s="23"/>
      <c r="X8" s="23"/>
      <c r="Y8" s="23"/>
      <c r="Z8" s="23"/>
      <c r="AA8" s="4"/>
      <c r="AB8" s="4"/>
      <c r="AC8" s="4"/>
      <c r="AD8" s="16" t="str">
        <f aca="false">TRIM(IF(AND(ISNUMBER(R8),R8&lt;=0),"t1 não é depois de t0; ","")&amp;IF(AND(C8="C",ISNUMBER(R8),S8=""),"falta o tempo no painel; ","")&amp;IF(AND(U8="sim",M8&lt;&gt;"F"),"acima do teto: deve ser F; ","")&amp;IF(AND(V8="s",M8&lt;&gt;"F"),"encerrada: deve ser F; ","")&amp;IF(AND(Y8="sim",M8&lt;&gt;"F"),"houve ajuda: deve ser F; ","")&amp;IF(AND(M8&lt;&gt;"",ISNUMBER(R8)=FALSE()),"falta t0 ou t1; ",""))</f>
        <v/>
      </c>
      <c r="AE8" s="26" t="str">
        <f aca="false">D8&amp;"|"&amp;C8</f>
        <v>IHC-2|S</v>
      </c>
    </row>
    <row r="9" customFormat="false" ht="35.05" hidden="false" customHeight="false" outlineLevel="0" collapsed="false">
      <c r="A9" s="20" t="n">
        <v>4</v>
      </c>
      <c r="B9" s="21" t="s">
        <v>107</v>
      </c>
      <c r="C9" s="22" t="s">
        <v>98</v>
      </c>
      <c r="D9" s="20" t="s">
        <v>120</v>
      </c>
      <c r="E9" s="20" t="s">
        <v>91</v>
      </c>
      <c r="F9" s="21" t="s">
        <v>121</v>
      </c>
      <c r="G9" s="21" t="s">
        <v>122</v>
      </c>
      <c r="H9" s="21" t="s">
        <v>123</v>
      </c>
      <c r="I9" s="21" t="s">
        <v>124</v>
      </c>
      <c r="J9" s="21" t="s">
        <v>125</v>
      </c>
      <c r="K9" s="20" t="n">
        <v>50</v>
      </c>
      <c r="L9" s="4"/>
      <c r="M9" s="23"/>
      <c r="N9" s="24"/>
      <c r="O9" s="24"/>
      <c r="P9" s="25" t="str">
        <f aca="false">IF(N9="","",IF(LEN(N9)-LEN(SUBSTITUTE(N9,":",""))=2,LEFT(N9,FIND(":",N9)-1)*3600+MID(N9,FIND(":",N9)+1,2)*60+RIGHT(N9,2),LEFT(N9,FIND(":",N9)-1)*60+RIGHT(N9,2)))</f>
        <v/>
      </c>
      <c r="Q9" s="25" t="str">
        <f aca="false">IF(O9="","",IF(LEN(O9)-LEN(SUBSTITUTE(O9,":",""))=2,LEFT(O9,FIND(":",O9)-1)*3600+MID(O9,FIND(":",O9)+1,2)*60+RIGHT(O9,2),LEFT(O9,FIND(":",O9)-1)*60+RIGHT(O9,2)))</f>
        <v/>
      </c>
      <c r="R9" s="25" t="str">
        <f aca="false">IF(OR(P9="",Q9=""),"",Q9-P9)</f>
        <v/>
      </c>
      <c r="S9" s="23"/>
      <c r="T9" s="25" t="str">
        <f aca="false">IF(R9="","",IF(AND(S9&lt;&gt;"",NOT(ISNUMBER(S9))),"painel inválido",R9-N(S9)))</f>
        <v/>
      </c>
      <c r="U9" s="25" t="str">
        <f aca="false">IF(NOT(ISNUMBER(T9)),"",IF(T9&gt;300,"sim","não"))</f>
        <v/>
      </c>
      <c r="V9" s="23"/>
      <c r="W9" s="23"/>
      <c r="X9" s="23"/>
      <c r="Y9" s="23"/>
      <c r="Z9" s="23"/>
      <c r="AA9" s="4"/>
      <c r="AB9" s="4"/>
      <c r="AC9" s="4"/>
      <c r="AD9" s="16" t="str">
        <f aca="false">TRIM(IF(AND(ISNUMBER(R9),R9&lt;=0),"t1 não é depois de t0; ","")&amp;IF(AND(C9="C",ISNUMBER(R9),S9=""),"falta o tempo no painel; ","")&amp;IF(AND(U9="sim",M9&lt;&gt;"F"),"acima do teto: deve ser F; ","")&amp;IF(AND(V9="s",M9&lt;&gt;"F"),"encerrada: deve ser F; ","")&amp;IF(AND(Y9="sim",M9&lt;&gt;"F"),"houve ajuda: deve ser F; ","")&amp;IF(AND(M9&lt;&gt;"",ISNUMBER(R9)=FALSE()),"falta t0 ou t1; ",""))</f>
        <v/>
      </c>
      <c r="AE9" s="26" t="str">
        <f aca="false">D9&amp;"|"&amp;C9</f>
        <v>CSBC-2|S</v>
      </c>
    </row>
    <row r="10" customFormat="false" ht="15" hidden="false" customHeight="false" outlineLevel="0" collapsed="false">
      <c r="A10" s="18" t="s">
        <v>126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customFormat="false" ht="46.25" hidden="false" customHeight="false" outlineLevel="0" collapsed="false">
      <c r="A11" s="20" t="n">
        <v>0</v>
      </c>
      <c r="B11" s="21" t="s">
        <v>127</v>
      </c>
      <c r="C11" s="20" t="s">
        <v>128</v>
      </c>
      <c r="D11" s="20" t="s">
        <v>129</v>
      </c>
      <c r="E11" s="20" t="s">
        <v>89</v>
      </c>
      <c r="F11" s="21" t="s">
        <v>130</v>
      </c>
      <c r="G11" s="21" t="s">
        <v>131</v>
      </c>
      <c r="H11" s="21" t="s">
        <v>132</v>
      </c>
      <c r="I11" s="21" t="s">
        <v>133</v>
      </c>
      <c r="J11" s="21" t="s">
        <v>134</v>
      </c>
      <c r="K11" s="20" t="n">
        <v>90</v>
      </c>
      <c r="L11" s="4"/>
      <c r="M11" s="23"/>
      <c r="N11" s="24"/>
      <c r="O11" s="24"/>
      <c r="P11" s="25" t="str">
        <f aca="false">IF(N11="","",IF(LEN(N11)-LEN(SUBSTITUTE(N11,":",""))=2,LEFT(N11,FIND(":",N11)-1)*3600+MID(N11,FIND(":",N11)+1,2)*60+RIGHT(N11,2),LEFT(N11,FIND(":",N11)-1)*60+RIGHT(N11,2)))</f>
        <v/>
      </c>
      <c r="Q11" s="25" t="str">
        <f aca="false">IF(O11="","",IF(LEN(O11)-LEN(SUBSTITUTE(O11,":",""))=2,LEFT(O11,FIND(":",O11)-1)*3600+MID(O11,FIND(":",O11)+1,2)*60+RIGHT(O11,2),LEFT(O11,FIND(":",O11)-1)*60+RIGHT(O11,2)))</f>
        <v/>
      </c>
      <c r="R11" s="25" t="str">
        <f aca="false">IF(OR(P11="",Q11=""),"",Q11-P11)</f>
        <v/>
      </c>
      <c r="S11" s="23"/>
      <c r="T11" s="25" t="str">
        <f aca="false">IF(R11="","",IF(AND(S11&lt;&gt;"",NOT(ISNUMBER(S11))),"painel inválido",R11-N(S11)))</f>
        <v/>
      </c>
      <c r="U11" s="25" t="str">
        <f aca="false">IF(NOT(ISNUMBER(T11)),"",IF(T11&gt;300,"sim","não"))</f>
        <v/>
      </c>
      <c r="V11" s="23"/>
      <c r="W11" s="23"/>
      <c r="X11" s="23"/>
      <c r="Y11" s="23"/>
      <c r="Z11" s="23"/>
      <c r="AA11" s="4"/>
      <c r="AB11" s="4"/>
      <c r="AC11" s="4"/>
      <c r="AD11" s="16" t="str">
        <f aca="false">TRIM(IF(AND(ISNUMBER(R11),R11&lt;=0),"t1 não é depois de t0; ","")&amp;IF(AND(C11="C",ISNUMBER(R11),S11=""),"falta o tempo no painel; ","")&amp;IF(AND(U11="sim",M11&lt;&gt;"F"),"acima do teto: deve ser F; ","")&amp;IF(AND(V11="s",M11&lt;&gt;"F"),"encerrada: deve ser F; ","")&amp;IF(AND(Y11="sim",M11&lt;&gt;"F"),"houve ajuda: deve ser F; ","")&amp;IF(AND(M11&lt;&gt;"",ISNUMBER(R11)=FALSE()),"falta t0 ou t1; ",""))</f>
        <v/>
      </c>
      <c r="AE11" s="26" t="str">
        <f aca="false">D11&amp;"|"&amp;C11</f>
        <v>P0|Painel</v>
      </c>
    </row>
    <row r="12" customFormat="false" ht="46.25" hidden="false" customHeight="false" outlineLevel="0" collapsed="false">
      <c r="A12" s="20" t="n">
        <v>5</v>
      </c>
      <c r="B12" s="21" t="s">
        <v>135</v>
      </c>
      <c r="C12" s="27" t="s">
        <v>136</v>
      </c>
      <c r="D12" s="20" t="s">
        <v>137</v>
      </c>
      <c r="E12" s="20" t="s">
        <v>91</v>
      </c>
      <c r="F12" s="21" t="s">
        <v>138</v>
      </c>
      <c r="G12" s="21" t="s">
        <v>139</v>
      </c>
      <c r="H12" s="21" t="s">
        <v>140</v>
      </c>
      <c r="I12" s="21" t="s">
        <v>141</v>
      </c>
      <c r="J12" s="21" t="s">
        <v>142</v>
      </c>
      <c r="K12" s="20" t="n">
        <v>65</v>
      </c>
      <c r="L12" s="4"/>
      <c r="M12" s="23"/>
      <c r="N12" s="24"/>
      <c r="O12" s="24"/>
      <c r="P12" s="25" t="str">
        <f aca="false">IF(N12="","",IF(LEN(N12)-LEN(SUBSTITUTE(N12,":",""))=2,LEFT(N12,FIND(":",N12)-1)*3600+MID(N12,FIND(":",N12)+1,2)*60+RIGHT(N12,2),LEFT(N12,FIND(":",N12)-1)*60+RIGHT(N12,2)))</f>
        <v/>
      </c>
      <c r="Q12" s="25" t="str">
        <f aca="false">IF(O12="","",IF(LEN(O12)-LEN(SUBSTITUTE(O12,":",""))=2,LEFT(O12,FIND(":",O12)-1)*3600+MID(O12,FIND(":",O12)+1,2)*60+RIGHT(O12,2),LEFT(O12,FIND(":",O12)-1)*60+RIGHT(O12,2)))</f>
        <v/>
      </c>
      <c r="R12" s="25" t="str">
        <f aca="false">IF(OR(P12="",Q12=""),"",Q12-P12)</f>
        <v/>
      </c>
      <c r="S12" s="23"/>
      <c r="T12" s="25" t="str">
        <f aca="false">IF(R12="","",IF(AND(S12&lt;&gt;"",NOT(ISNUMBER(S12))),"painel inválido",R12-N(S12)))</f>
        <v/>
      </c>
      <c r="U12" s="25" t="str">
        <f aca="false">IF(NOT(ISNUMBER(T12)),"",IF(T12&gt;300,"sim","não"))</f>
        <v/>
      </c>
      <c r="V12" s="23"/>
      <c r="W12" s="23"/>
      <c r="X12" s="23"/>
      <c r="Y12" s="23"/>
      <c r="Z12" s="23"/>
      <c r="AA12" s="4"/>
      <c r="AB12" s="4"/>
      <c r="AC12" s="4"/>
      <c r="AD12" s="16" t="str">
        <f aca="false">TRIM(IF(AND(ISNUMBER(R12),R12&lt;=0),"t1 não é depois de t0; ","")&amp;IF(AND(C12="C",ISNUMBER(R12),S12=""),"falta o tempo no painel; ","")&amp;IF(AND(U12="sim",M12&lt;&gt;"F"),"acima do teto: deve ser F; ","")&amp;IF(AND(V12="s",M12&lt;&gt;"F"),"encerrada: deve ser F; ","")&amp;IF(AND(Y12="sim",M12&lt;&gt;"F"),"houve ajuda: deve ser F; ","")&amp;IF(AND(M12&lt;&gt;"",ISNUMBER(R12)=FALSE()),"falta t0 ou t1; ",""))</f>
        <v/>
      </c>
      <c r="AE12" s="26" t="str">
        <f aca="false">D12&amp;"|"&amp;C12</f>
        <v>SOL-2|C</v>
      </c>
    </row>
    <row r="13" customFormat="false" ht="46.25" hidden="false" customHeight="false" outlineLevel="0" collapsed="false">
      <c r="A13" s="20" t="n">
        <v>6</v>
      </c>
      <c r="B13" s="21" t="s">
        <v>135</v>
      </c>
      <c r="C13" s="27" t="s">
        <v>136</v>
      </c>
      <c r="D13" s="20" t="s">
        <v>143</v>
      </c>
      <c r="E13" s="20" t="s">
        <v>91</v>
      </c>
      <c r="F13" s="21" t="s">
        <v>144</v>
      </c>
      <c r="G13" s="21" t="s">
        <v>145</v>
      </c>
      <c r="H13" s="21" t="s">
        <v>146</v>
      </c>
      <c r="I13" s="21" t="s">
        <v>147</v>
      </c>
      <c r="J13" s="21" t="s">
        <v>148</v>
      </c>
      <c r="K13" s="20" t="n">
        <v>130</v>
      </c>
      <c r="L13" s="4"/>
      <c r="M13" s="23"/>
      <c r="N13" s="24"/>
      <c r="O13" s="24"/>
      <c r="P13" s="25" t="str">
        <f aca="false">IF(N13="","",IF(LEN(N13)-LEN(SUBSTITUTE(N13,":",""))=2,LEFT(N13,FIND(":",N13)-1)*3600+MID(N13,FIND(":",N13)+1,2)*60+RIGHT(N13,2),LEFT(N13,FIND(":",N13)-1)*60+RIGHT(N13,2)))</f>
        <v/>
      </c>
      <c r="Q13" s="25" t="str">
        <f aca="false">IF(O13="","",IF(LEN(O13)-LEN(SUBSTITUTE(O13,":",""))=2,LEFT(O13,FIND(":",O13)-1)*3600+MID(O13,FIND(":",O13)+1,2)*60+RIGHT(O13,2),LEFT(O13,FIND(":",O13)-1)*60+RIGHT(O13,2)))</f>
        <v/>
      </c>
      <c r="R13" s="25" t="str">
        <f aca="false">IF(OR(P13="",Q13=""),"",Q13-P13)</f>
        <v/>
      </c>
      <c r="S13" s="23"/>
      <c r="T13" s="25" t="str">
        <f aca="false">IF(R13="","",IF(AND(S13&lt;&gt;"",NOT(ISNUMBER(S13))),"painel inválido",R13-N(S13)))</f>
        <v/>
      </c>
      <c r="U13" s="25" t="str">
        <f aca="false">IF(NOT(ISNUMBER(T13)),"",IF(T13&gt;300,"sim","não"))</f>
        <v/>
      </c>
      <c r="V13" s="23"/>
      <c r="W13" s="23"/>
      <c r="X13" s="23"/>
      <c r="Y13" s="23"/>
      <c r="Z13" s="23"/>
      <c r="AA13" s="4"/>
      <c r="AB13" s="4"/>
      <c r="AC13" s="4"/>
      <c r="AD13" s="16" t="str">
        <f aca="false">TRIM(IF(AND(ISNUMBER(R13),R13&lt;=0),"t1 não é depois de t0; ","")&amp;IF(AND(C13="C",ISNUMBER(R13),S13=""),"falta o tempo no painel; ","")&amp;IF(AND(U13="sim",M13&lt;&gt;"F"),"acima do teto: deve ser F; ","")&amp;IF(AND(V13="s",M13&lt;&gt;"F"),"encerrada: deve ser F; ","")&amp;IF(AND(Y13="sim",M13&lt;&gt;"F"),"houve ajuda: deve ser F; ","")&amp;IF(AND(M13&lt;&gt;"",ISNUMBER(R13)=FALSE()),"falta t0 ou t1; ",""))</f>
        <v/>
      </c>
      <c r="AE13" s="26" t="str">
        <f aca="false">D13&amp;"|"&amp;C13</f>
        <v>CAPES-2|C</v>
      </c>
    </row>
    <row r="14" customFormat="false" ht="46.25" hidden="false" customHeight="false" outlineLevel="0" collapsed="false">
      <c r="A14" s="20" t="n">
        <v>7</v>
      </c>
      <c r="B14" s="21" t="s">
        <v>135</v>
      </c>
      <c r="C14" s="27" t="s">
        <v>136</v>
      </c>
      <c r="D14" s="20" t="s">
        <v>149</v>
      </c>
      <c r="E14" s="20" t="s">
        <v>91</v>
      </c>
      <c r="F14" s="21" t="s">
        <v>150</v>
      </c>
      <c r="G14" s="21" t="s">
        <v>151</v>
      </c>
      <c r="H14" s="21" t="s">
        <v>152</v>
      </c>
      <c r="I14" s="21" t="s">
        <v>153</v>
      </c>
      <c r="J14" s="21" t="s">
        <v>154</v>
      </c>
      <c r="K14" s="20" t="n">
        <v>165</v>
      </c>
      <c r="L14" s="4"/>
      <c r="M14" s="23"/>
      <c r="N14" s="24"/>
      <c r="O14" s="24"/>
      <c r="P14" s="25" t="str">
        <f aca="false">IF(N14="","",IF(LEN(N14)-LEN(SUBSTITUTE(N14,":",""))=2,LEFT(N14,FIND(":",N14)-1)*3600+MID(N14,FIND(":",N14)+1,2)*60+RIGHT(N14,2),LEFT(N14,FIND(":",N14)-1)*60+RIGHT(N14,2)))</f>
        <v/>
      </c>
      <c r="Q14" s="25" t="str">
        <f aca="false">IF(O14="","",IF(LEN(O14)-LEN(SUBSTITUTE(O14,":",""))=2,LEFT(O14,FIND(":",O14)-1)*3600+MID(O14,FIND(":",O14)+1,2)*60+RIGHT(O14,2),LEFT(O14,FIND(":",O14)-1)*60+RIGHT(O14,2)))</f>
        <v/>
      </c>
      <c r="R14" s="25" t="str">
        <f aca="false">IF(OR(P14="",Q14=""),"",Q14-P14)</f>
        <v/>
      </c>
      <c r="S14" s="23"/>
      <c r="T14" s="25" t="str">
        <f aca="false">IF(R14="","",IF(AND(S14&lt;&gt;"",NOT(ISNUMBER(S14))),"painel inválido",R14-N(S14)))</f>
        <v/>
      </c>
      <c r="U14" s="25" t="str">
        <f aca="false">IF(NOT(ISNUMBER(T14)),"",IF(T14&gt;300,"sim","não"))</f>
        <v/>
      </c>
      <c r="V14" s="23"/>
      <c r="W14" s="23"/>
      <c r="X14" s="23"/>
      <c r="Y14" s="23"/>
      <c r="Z14" s="23"/>
      <c r="AA14" s="4"/>
      <c r="AB14" s="4"/>
      <c r="AC14" s="4"/>
      <c r="AD14" s="16" t="str">
        <f aca="false">TRIM(IF(AND(ISNUMBER(R14),R14&lt;=0),"t1 não é depois de t0; ","")&amp;IF(AND(C14="C",ISNUMBER(R14),S14=""),"falta o tempo no painel; ","")&amp;IF(AND(U14="sim",M14&lt;&gt;"F"),"acima do teto: deve ser F; ","")&amp;IF(AND(V14="s",M14&lt;&gt;"F"),"encerrada: deve ser F; ","")&amp;IF(AND(Y14="sim",M14&lt;&gt;"F"),"houve ajuda: deve ser F; ","")&amp;IF(AND(M14&lt;&gt;"",ISNUMBER(R14)=FALSE()),"falta t0 ou t1; ",""))</f>
        <v/>
      </c>
      <c r="AE14" s="26" t="str">
        <f aca="false">D14&amp;"|"&amp;C14</f>
        <v>IHC-1|C</v>
      </c>
    </row>
    <row r="15" customFormat="false" ht="57.45" hidden="false" customHeight="false" outlineLevel="0" collapsed="false">
      <c r="A15" s="20" t="n">
        <v>8</v>
      </c>
      <c r="B15" s="21" t="s">
        <v>135</v>
      </c>
      <c r="C15" s="27" t="s">
        <v>136</v>
      </c>
      <c r="D15" s="20" t="s">
        <v>155</v>
      </c>
      <c r="E15" s="20" t="s">
        <v>91</v>
      </c>
      <c r="F15" s="21" t="s">
        <v>156</v>
      </c>
      <c r="G15" s="21" t="s">
        <v>157</v>
      </c>
      <c r="H15" s="21" t="s">
        <v>158</v>
      </c>
      <c r="I15" s="21" t="s">
        <v>159</v>
      </c>
      <c r="J15" s="21" t="s">
        <v>160</v>
      </c>
      <c r="K15" s="20" t="n">
        <v>95</v>
      </c>
      <c r="L15" s="4"/>
      <c r="M15" s="23"/>
      <c r="N15" s="24"/>
      <c r="O15" s="24"/>
      <c r="P15" s="25" t="str">
        <f aca="false">IF(N15="","",IF(LEN(N15)-LEN(SUBSTITUTE(N15,":",""))=2,LEFT(N15,FIND(":",N15)-1)*3600+MID(N15,FIND(":",N15)+1,2)*60+RIGHT(N15,2),LEFT(N15,FIND(":",N15)-1)*60+RIGHT(N15,2)))</f>
        <v/>
      </c>
      <c r="Q15" s="25" t="str">
        <f aca="false">IF(O15="","",IF(LEN(O15)-LEN(SUBSTITUTE(O15,":",""))=2,LEFT(O15,FIND(":",O15)-1)*3600+MID(O15,FIND(":",O15)+1,2)*60+RIGHT(O15,2),LEFT(O15,FIND(":",O15)-1)*60+RIGHT(O15,2)))</f>
        <v/>
      </c>
      <c r="R15" s="25" t="str">
        <f aca="false">IF(OR(P15="",Q15=""),"",Q15-P15)</f>
        <v/>
      </c>
      <c r="S15" s="23"/>
      <c r="T15" s="25" t="str">
        <f aca="false">IF(R15="","",IF(AND(S15&lt;&gt;"",NOT(ISNUMBER(S15))),"painel inválido",R15-N(S15)))</f>
        <v/>
      </c>
      <c r="U15" s="25" t="str">
        <f aca="false">IF(NOT(ISNUMBER(T15)),"",IF(T15&gt;300,"sim","não"))</f>
        <v/>
      </c>
      <c r="V15" s="23"/>
      <c r="W15" s="23"/>
      <c r="X15" s="23"/>
      <c r="Y15" s="23"/>
      <c r="Z15" s="23"/>
      <c r="AA15" s="4"/>
      <c r="AB15" s="4"/>
      <c r="AC15" s="4"/>
      <c r="AD15" s="16" t="str">
        <f aca="false">TRIM(IF(AND(ISNUMBER(R15),R15&lt;=0),"t1 não é depois de t0; ","")&amp;IF(AND(C15="C",ISNUMBER(R15),S15=""),"falta o tempo no painel; ","")&amp;IF(AND(U15="sim",M15&lt;&gt;"F"),"acima do teto: deve ser F; ","")&amp;IF(AND(V15="s",M15&lt;&gt;"F"),"encerrada: deve ser F; ","")&amp;IF(AND(Y15="sim",M15&lt;&gt;"F"),"houve ajuda: deve ser F; ","")&amp;IF(AND(M15&lt;&gt;"",ISNUMBER(R15)=FALSE()),"falta t0 ou t1; ",""))</f>
        <v/>
      </c>
      <c r="AE15" s="26" t="str">
        <f aca="false">D15&amp;"|"&amp;C15</f>
        <v>EDU-1|C</v>
      </c>
    </row>
    <row r="16" customFormat="false" ht="15" hidden="false" customHeight="false" outlineLevel="0" collapsed="false">
      <c r="A16" s="18" t="s">
        <v>161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 customFormat="false" ht="46.25" hidden="false" customHeight="false" outlineLevel="0" collapsed="false">
      <c r="A17" s="20" t="n">
        <v>9</v>
      </c>
      <c r="B17" s="21" t="s">
        <v>162</v>
      </c>
      <c r="C17" s="27" t="s">
        <v>136</v>
      </c>
      <c r="D17" s="20" t="s">
        <v>108</v>
      </c>
      <c r="E17" s="20" t="s">
        <v>163</v>
      </c>
      <c r="F17" s="21" t="s">
        <v>109</v>
      </c>
      <c r="G17" s="21" t="s">
        <v>110</v>
      </c>
      <c r="H17" s="21" t="s">
        <v>164</v>
      </c>
      <c r="I17" s="21" t="s">
        <v>165</v>
      </c>
      <c r="J17" s="21" t="s">
        <v>166</v>
      </c>
      <c r="K17" s="20" t="n">
        <v>145</v>
      </c>
      <c r="L17" s="4"/>
      <c r="M17" s="23"/>
      <c r="N17" s="24"/>
      <c r="O17" s="24"/>
      <c r="P17" s="25" t="str">
        <f aca="false">IF(N17="","",IF(LEN(N17)-LEN(SUBSTITUTE(N17,":",""))=2,LEFT(N17,FIND(":",N17)-1)*3600+MID(N17,FIND(":",N17)+1,2)*60+RIGHT(N17,2),LEFT(N17,FIND(":",N17)-1)*60+RIGHT(N17,2)))</f>
        <v/>
      </c>
      <c r="Q17" s="25" t="str">
        <f aca="false">IF(O17="","",IF(LEN(O17)-LEN(SUBSTITUTE(O17,":",""))=2,LEFT(O17,FIND(":",O17)-1)*3600+MID(O17,FIND(":",O17)+1,2)*60+RIGHT(O17,2),LEFT(O17,FIND(":",O17)-1)*60+RIGHT(O17,2)))</f>
        <v/>
      </c>
      <c r="R17" s="25" t="str">
        <f aca="false">IF(OR(P17="",Q17=""),"",Q17-P17)</f>
        <v/>
      </c>
      <c r="S17" s="23"/>
      <c r="T17" s="25" t="str">
        <f aca="false">IF(R17="","",IF(AND(S17&lt;&gt;"",NOT(ISNUMBER(S17))),"painel inválido",R17-N(S17)))</f>
        <v/>
      </c>
      <c r="U17" s="25" t="str">
        <f aca="false">IF(NOT(ISNUMBER(T17)),"",IF(T17&gt;300,"sim","não"))</f>
        <v/>
      </c>
      <c r="V17" s="23"/>
      <c r="W17" s="23"/>
      <c r="X17" s="23"/>
      <c r="Y17" s="23"/>
      <c r="Z17" s="23"/>
      <c r="AA17" s="4"/>
      <c r="AB17" s="4"/>
      <c r="AC17" s="4"/>
      <c r="AD17" s="16" t="str">
        <f aca="false">TRIM(IF(AND(ISNUMBER(R17),R17&lt;=0),"t1 não é depois de t0; ","")&amp;IF(AND(C17="C",ISNUMBER(R17),S17=""),"falta o tempo no painel; ","")&amp;IF(AND(U17="sim",M17&lt;&gt;"F"),"acima do teto: deve ser F; ","")&amp;IF(AND(V17="s",M17&lt;&gt;"F"),"encerrada: deve ser F; ","")&amp;IF(AND(Y17="sim",M17&lt;&gt;"F"),"houve ajuda: deve ser F; ","")&amp;IF(AND(M17&lt;&gt;"",ISNUMBER(R17)=FALSE()),"falta t0 ou t1; ",""))</f>
        <v/>
      </c>
      <c r="AE17" s="26" t="str">
        <f aca="false">D17&amp;"|"&amp;C17</f>
        <v>SOL-1|C</v>
      </c>
    </row>
    <row r="18" customFormat="false" ht="35.05" hidden="false" customHeight="false" outlineLevel="0" collapsed="false">
      <c r="A18" s="20" t="n">
        <v>10</v>
      </c>
      <c r="B18" s="21" t="s">
        <v>162</v>
      </c>
      <c r="C18" s="27" t="s">
        <v>136</v>
      </c>
      <c r="D18" s="20" t="s">
        <v>114</v>
      </c>
      <c r="E18" s="20" t="s">
        <v>163</v>
      </c>
      <c r="F18" s="21" t="s">
        <v>115</v>
      </c>
      <c r="G18" s="21" t="s">
        <v>116</v>
      </c>
      <c r="H18" s="21" t="s">
        <v>167</v>
      </c>
      <c r="I18" s="21" t="s">
        <v>168</v>
      </c>
      <c r="J18" s="21" t="s">
        <v>169</v>
      </c>
      <c r="K18" s="20" t="n">
        <v>150</v>
      </c>
      <c r="L18" s="4"/>
      <c r="M18" s="23"/>
      <c r="N18" s="24"/>
      <c r="O18" s="24"/>
      <c r="P18" s="25" t="str">
        <f aca="false">IF(N18="","",IF(LEN(N18)-LEN(SUBSTITUTE(N18,":",""))=2,LEFT(N18,FIND(":",N18)-1)*3600+MID(N18,FIND(":",N18)+1,2)*60+RIGHT(N18,2),LEFT(N18,FIND(":",N18)-1)*60+RIGHT(N18,2)))</f>
        <v/>
      </c>
      <c r="Q18" s="25" t="str">
        <f aca="false">IF(O18="","",IF(LEN(O18)-LEN(SUBSTITUTE(O18,":",""))=2,LEFT(O18,FIND(":",O18)-1)*3600+MID(O18,FIND(":",O18)+1,2)*60+RIGHT(O18,2),LEFT(O18,FIND(":",O18)-1)*60+RIGHT(O18,2)))</f>
        <v/>
      </c>
      <c r="R18" s="25" t="str">
        <f aca="false">IF(OR(P18="",Q18=""),"",Q18-P18)</f>
        <v/>
      </c>
      <c r="S18" s="23"/>
      <c r="T18" s="25" t="str">
        <f aca="false">IF(R18="","",IF(AND(S18&lt;&gt;"",NOT(ISNUMBER(S18))),"painel inválido",R18-N(S18)))</f>
        <v/>
      </c>
      <c r="U18" s="25" t="str">
        <f aca="false">IF(NOT(ISNUMBER(T18)),"",IF(T18&gt;300,"sim","não"))</f>
        <v/>
      </c>
      <c r="V18" s="23"/>
      <c r="W18" s="23"/>
      <c r="X18" s="23"/>
      <c r="Y18" s="23"/>
      <c r="Z18" s="23"/>
      <c r="AA18" s="4"/>
      <c r="AB18" s="4"/>
      <c r="AC18" s="4"/>
      <c r="AD18" s="16" t="str">
        <f aca="false">TRIM(IF(AND(ISNUMBER(R18),R18&lt;=0),"t1 não é depois de t0; ","")&amp;IF(AND(C18="C",ISNUMBER(R18),S18=""),"falta o tempo no painel; ","")&amp;IF(AND(U18="sim",M18&lt;&gt;"F"),"acima do teto: deve ser F; ","")&amp;IF(AND(V18="s",M18&lt;&gt;"F"),"encerrada: deve ser F; ","")&amp;IF(AND(Y18="sim",M18&lt;&gt;"F"),"houve ajuda: deve ser F; ","")&amp;IF(AND(M18&lt;&gt;"",ISNUMBER(R18)=FALSE()),"falta t0 ou t1; ",""))</f>
        <v/>
      </c>
      <c r="AE18" s="26" t="str">
        <f aca="false">D18&amp;"|"&amp;C18</f>
        <v>CAPES-1|C</v>
      </c>
    </row>
    <row r="19" customFormat="false" ht="35.05" hidden="false" customHeight="false" outlineLevel="0" collapsed="false">
      <c r="A19" s="20" t="n">
        <v>11</v>
      </c>
      <c r="B19" s="21" t="s">
        <v>162</v>
      </c>
      <c r="C19" s="27" t="s">
        <v>136</v>
      </c>
      <c r="D19" s="20" t="s">
        <v>90</v>
      </c>
      <c r="E19" s="20" t="s">
        <v>163</v>
      </c>
      <c r="F19" s="21" t="s">
        <v>92</v>
      </c>
      <c r="G19" s="21" t="s">
        <v>93</v>
      </c>
      <c r="H19" s="21" t="s">
        <v>170</v>
      </c>
      <c r="I19" s="21" t="s">
        <v>171</v>
      </c>
      <c r="J19" s="21" t="s">
        <v>172</v>
      </c>
      <c r="K19" s="20" t="n">
        <v>90</v>
      </c>
      <c r="L19" s="4"/>
      <c r="M19" s="23"/>
      <c r="N19" s="24"/>
      <c r="O19" s="24"/>
      <c r="P19" s="25" t="str">
        <f aca="false">IF(N19="","",IF(LEN(N19)-LEN(SUBSTITUTE(N19,":",""))=2,LEFT(N19,FIND(":",N19)-1)*3600+MID(N19,FIND(":",N19)+1,2)*60+RIGHT(N19,2),LEFT(N19,FIND(":",N19)-1)*60+RIGHT(N19,2)))</f>
        <v/>
      </c>
      <c r="Q19" s="25" t="str">
        <f aca="false">IF(O19="","",IF(LEN(O19)-LEN(SUBSTITUTE(O19,":",""))=2,LEFT(O19,FIND(":",O19)-1)*3600+MID(O19,FIND(":",O19)+1,2)*60+RIGHT(O19,2),LEFT(O19,FIND(":",O19)-1)*60+RIGHT(O19,2)))</f>
        <v/>
      </c>
      <c r="R19" s="25" t="str">
        <f aca="false">IF(OR(P19="",Q19=""),"",Q19-P19)</f>
        <v/>
      </c>
      <c r="S19" s="23"/>
      <c r="T19" s="25" t="str">
        <f aca="false">IF(R19="","",IF(AND(S19&lt;&gt;"",NOT(ISNUMBER(S19))),"painel inválido",R19-N(S19)))</f>
        <v/>
      </c>
      <c r="U19" s="25" t="str">
        <f aca="false">IF(NOT(ISNUMBER(T19)),"",IF(T19&gt;300,"sim","não"))</f>
        <v/>
      </c>
      <c r="V19" s="23"/>
      <c r="W19" s="23"/>
      <c r="X19" s="23"/>
      <c r="Y19" s="23"/>
      <c r="Z19" s="23"/>
      <c r="AA19" s="4"/>
      <c r="AB19" s="4"/>
      <c r="AC19" s="4"/>
      <c r="AD19" s="16" t="str">
        <f aca="false">TRIM(IF(AND(ISNUMBER(R19),R19&lt;=0),"t1 não é depois de t0; ","")&amp;IF(AND(C19="C",ISNUMBER(R19),S19=""),"falta o tempo no painel; ","")&amp;IF(AND(U19="sim",M19&lt;&gt;"F"),"acima do teto: deve ser F; ","")&amp;IF(AND(V19="s",M19&lt;&gt;"F"),"encerrada: deve ser F; ","")&amp;IF(AND(Y19="sim",M19&lt;&gt;"F"),"houve ajuda: deve ser F; ","")&amp;IF(AND(M19&lt;&gt;"",ISNUMBER(R19)=FALSE()),"falta t0 ou t1; ",""))</f>
        <v/>
      </c>
      <c r="AE19" s="26" t="str">
        <f aca="false">D19&amp;"|"&amp;C19</f>
        <v>IHC-2|C</v>
      </c>
    </row>
    <row r="20" customFormat="false" ht="35.05" hidden="false" customHeight="false" outlineLevel="0" collapsed="false">
      <c r="A20" s="20" t="n">
        <v>12</v>
      </c>
      <c r="B20" s="21" t="s">
        <v>162</v>
      </c>
      <c r="C20" s="27" t="s">
        <v>136</v>
      </c>
      <c r="D20" s="20" t="s">
        <v>120</v>
      </c>
      <c r="E20" s="20" t="s">
        <v>163</v>
      </c>
      <c r="F20" s="21" t="s">
        <v>121</v>
      </c>
      <c r="G20" s="21" t="s">
        <v>122</v>
      </c>
      <c r="H20" s="21" t="s">
        <v>173</v>
      </c>
      <c r="I20" s="21" t="s">
        <v>174</v>
      </c>
      <c r="J20" s="21" t="s">
        <v>175</v>
      </c>
      <c r="K20" s="20" t="n">
        <v>120</v>
      </c>
      <c r="L20" s="4"/>
      <c r="M20" s="23"/>
      <c r="N20" s="24"/>
      <c r="O20" s="24"/>
      <c r="P20" s="25" t="str">
        <f aca="false">IF(N20="","",IF(LEN(N20)-LEN(SUBSTITUTE(N20,":",""))=2,LEFT(N20,FIND(":",N20)-1)*3600+MID(N20,FIND(":",N20)+1,2)*60+RIGHT(N20,2),LEFT(N20,FIND(":",N20)-1)*60+RIGHT(N20,2)))</f>
        <v/>
      </c>
      <c r="Q20" s="25" t="str">
        <f aca="false">IF(O20="","",IF(LEN(O20)-LEN(SUBSTITUTE(O20,":",""))=2,LEFT(O20,FIND(":",O20)-1)*3600+MID(O20,FIND(":",O20)+1,2)*60+RIGHT(O20,2),LEFT(O20,FIND(":",O20)-1)*60+RIGHT(O20,2)))</f>
        <v/>
      </c>
      <c r="R20" s="25" t="str">
        <f aca="false">IF(OR(P20="",Q20=""),"",Q20-P20)</f>
        <v/>
      </c>
      <c r="S20" s="23"/>
      <c r="T20" s="25" t="str">
        <f aca="false">IF(R20="","",IF(AND(S20&lt;&gt;"",NOT(ISNUMBER(S20))),"painel inválido",R20-N(S20)))</f>
        <v/>
      </c>
      <c r="U20" s="25" t="str">
        <f aca="false">IF(NOT(ISNUMBER(T20)),"",IF(T20&gt;300,"sim","não"))</f>
        <v/>
      </c>
      <c r="V20" s="23"/>
      <c r="W20" s="23"/>
      <c r="X20" s="23"/>
      <c r="Y20" s="23"/>
      <c r="Z20" s="23"/>
      <c r="AA20" s="4"/>
      <c r="AB20" s="4"/>
      <c r="AC20" s="4"/>
      <c r="AD20" s="16" t="str">
        <f aca="false">TRIM(IF(AND(ISNUMBER(R20),R20&lt;=0),"t1 não é depois de t0; ","")&amp;IF(AND(C20="C",ISNUMBER(R20),S20=""),"falta o tempo no painel; ","")&amp;IF(AND(U20="sim",M20&lt;&gt;"F"),"acima do teto: deve ser F; ","")&amp;IF(AND(V20="s",M20&lt;&gt;"F"),"encerrada: deve ser F; ","")&amp;IF(AND(Y20="sim",M20&lt;&gt;"F"),"houve ajuda: deve ser F; ","")&amp;IF(AND(M20&lt;&gt;"",ISNUMBER(R20)=FALSE()),"falta t0 ou t1; ",""))</f>
        <v/>
      </c>
      <c r="AE20" s="26" t="str">
        <f aca="false">D20&amp;"|"&amp;C20</f>
        <v>CSBC-2|C</v>
      </c>
    </row>
    <row r="21" customFormat="false" ht="15" hidden="false" customHeight="false" outlineLevel="0" collapsed="false">
      <c r="A21" s="18" t="s">
        <v>176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customFormat="false" ht="35.05" hidden="false" customHeight="false" outlineLevel="0" collapsed="false">
      <c r="A22" s="20" t="n">
        <v>13</v>
      </c>
      <c r="B22" s="21" t="s">
        <v>177</v>
      </c>
      <c r="C22" s="22" t="s">
        <v>98</v>
      </c>
      <c r="D22" s="20" t="s">
        <v>137</v>
      </c>
      <c r="E22" s="20" t="s">
        <v>163</v>
      </c>
      <c r="F22" s="21" t="s">
        <v>138</v>
      </c>
      <c r="G22" s="21" t="s">
        <v>139</v>
      </c>
      <c r="H22" s="21" t="s">
        <v>178</v>
      </c>
      <c r="I22" s="21" t="s">
        <v>179</v>
      </c>
      <c r="J22" s="21" t="s">
        <v>180</v>
      </c>
      <c r="K22" s="20" t="n">
        <v>45</v>
      </c>
      <c r="L22" s="4"/>
      <c r="M22" s="23"/>
      <c r="N22" s="24"/>
      <c r="O22" s="24"/>
      <c r="P22" s="25" t="str">
        <f aca="false">IF(N22="","",IF(LEN(N22)-LEN(SUBSTITUTE(N22,":",""))=2,LEFT(N22,FIND(":",N22)-1)*3600+MID(N22,FIND(":",N22)+1,2)*60+RIGHT(N22,2),LEFT(N22,FIND(":",N22)-1)*60+RIGHT(N22,2)))</f>
        <v/>
      </c>
      <c r="Q22" s="25" t="str">
        <f aca="false">IF(O22="","",IF(LEN(O22)-LEN(SUBSTITUTE(O22,":",""))=2,LEFT(O22,FIND(":",O22)-1)*3600+MID(O22,FIND(":",O22)+1,2)*60+RIGHT(O22,2),LEFT(O22,FIND(":",O22)-1)*60+RIGHT(O22,2)))</f>
        <v/>
      </c>
      <c r="R22" s="25" t="str">
        <f aca="false">IF(OR(P22="",Q22=""),"",Q22-P22)</f>
        <v/>
      </c>
      <c r="S22" s="23"/>
      <c r="T22" s="25" t="str">
        <f aca="false">IF(R22="","",IF(AND(S22&lt;&gt;"",NOT(ISNUMBER(S22))),"painel inválido",R22-N(S22)))</f>
        <v/>
      </c>
      <c r="U22" s="25" t="str">
        <f aca="false">IF(NOT(ISNUMBER(T22)),"",IF(T22&gt;300,"sim","não"))</f>
        <v/>
      </c>
      <c r="V22" s="23"/>
      <c r="W22" s="23"/>
      <c r="X22" s="23"/>
      <c r="Y22" s="23"/>
      <c r="Z22" s="23"/>
      <c r="AA22" s="4"/>
      <c r="AB22" s="4"/>
      <c r="AC22" s="4"/>
      <c r="AD22" s="16" t="str">
        <f aca="false">TRIM(IF(AND(ISNUMBER(R22),R22&lt;=0),"t1 não é depois de t0; ","")&amp;IF(AND(C22="C",ISNUMBER(R22),S22=""),"falta o tempo no painel; ","")&amp;IF(AND(U22="sim",M22&lt;&gt;"F"),"acima do teto: deve ser F; ","")&amp;IF(AND(V22="s",M22&lt;&gt;"F"),"encerrada: deve ser F; ","")&amp;IF(AND(Y22="sim",M22&lt;&gt;"F"),"houve ajuda: deve ser F; ","")&amp;IF(AND(M22&lt;&gt;"",ISNUMBER(R22)=FALSE()),"falta t0 ou t1; ",""))</f>
        <v/>
      </c>
      <c r="AE22" s="26" t="str">
        <f aca="false">D22&amp;"|"&amp;C22</f>
        <v>SOL-2|S</v>
      </c>
    </row>
    <row r="23" customFormat="false" ht="35.05" hidden="false" customHeight="false" outlineLevel="0" collapsed="false">
      <c r="A23" s="20" t="n">
        <v>14</v>
      </c>
      <c r="B23" s="21" t="s">
        <v>177</v>
      </c>
      <c r="C23" s="22" t="s">
        <v>98</v>
      </c>
      <c r="D23" s="20" t="s">
        <v>143</v>
      </c>
      <c r="E23" s="20" t="s">
        <v>163</v>
      </c>
      <c r="F23" s="21" t="s">
        <v>144</v>
      </c>
      <c r="G23" s="21" t="s">
        <v>145</v>
      </c>
      <c r="H23" s="21" t="s">
        <v>181</v>
      </c>
      <c r="I23" s="21" t="s">
        <v>182</v>
      </c>
      <c r="J23" s="21" t="s">
        <v>183</v>
      </c>
      <c r="K23" s="20" t="n">
        <v>110</v>
      </c>
      <c r="L23" s="4"/>
      <c r="M23" s="23"/>
      <c r="N23" s="24"/>
      <c r="O23" s="24"/>
      <c r="P23" s="25" t="str">
        <f aca="false">IF(N23="","",IF(LEN(N23)-LEN(SUBSTITUTE(N23,":",""))=2,LEFT(N23,FIND(":",N23)-1)*3600+MID(N23,FIND(":",N23)+1,2)*60+RIGHT(N23,2),LEFT(N23,FIND(":",N23)-1)*60+RIGHT(N23,2)))</f>
        <v/>
      </c>
      <c r="Q23" s="25" t="str">
        <f aca="false">IF(O23="","",IF(LEN(O23)-LEN(SUBSTITUTE(O23,":",""))=2,LEFT(O23,FIND(":",O23)-1)*3600+MID(O23,FIND(":",O23)+1,2)*60+RIGHT(O23,2),LEFT(O23,FIND(":",O23)-1)*60+RIGHT(O23,2)))</f>
        <v/>
      </c>
      <c r="R23" s="25" t="str">
        <f aca="false">IF(OR(P23="",Q23=""),"",Q23-P23)</f>
        <v/>
      </c>
      <c r="S23" s="23"/>
      <c r="T23" s="25" t="str">
        <f aca="false">IF(R23="","",IF(AND(S23&lt;&gt;"",NOT(ISNUMBER(S23))),"painel inválido",R23-N(S23)))</f>
        <v/>
      </c>
      <c r="U23" s="25" t="str">
        <f aca="false">IF(NOT(ISNUMBER(T23)),"",IF(T23&gt;300,"sim","não"))</f>
        <v/>
      </c>
      <c r="V23" s="23"/>
      <c r="W23" s="23"/>
      <c r="X23" s="23"/>
      <c r="Y23" s="23"/>
      <c r="Z23" s="23"/>
      <c r="AA23" s="4"/>
      <c r="AB23" s="4"/>
      <c r="AC23" s="4"/>
      <c r="AD23" s="16" t="str">
        <f aca="false">TRIM(IF(AND(ISNUMBER(R23),R23&lt;=0),"t1 não é depois de t0; ","")&amp;IF(AND(C23="C",ISNUMBER(R23),S23=""),"falta o tempo no painel; ","")&amp;IF(AND(U23="sim",M23&lt;&gt;"F"),"acima do teto: deve ser F; ","")&amp;IF(AND(V23="s",M23&lt;&gt;"F"),"encerrada: deve ser F; ","")&amp;IF(AND(Y23="sim",M23&lt;&gt;"F"),"houve ajuda: deve ser F; ","")&amp;IF(AND(M23&lt;&gt;"",ISNUMBER(R23)=FALSE()),"falta t0 ou t1; ",""))</f>
        <v/>
      </c>
      <c r="AE23" s="26" t="str">
        <f aca="false">D23&amp;"|"&amp;C23</f>
        <v>CAPES-2|S</v>
      </c>
    </row>
    <row r="24" customFormat="false" ht="46.25" hidden="false" customHeight="false" outlineLevel="0" collapsed="false">
      <c r="A24" s="20" t="n">
        <v>15</v>
      </c>
      <c r="B24" s="21" t="s">
        <v>177</v>
      </c>
      <c r="C24" s="22" t="s">
        <v>98</v>
      </c>
      <c r="D24" s="20" t="s">
        <v>149</v>
      </c>
      <c r="E24" s="20" t="s">
        <v>163</v>
      </c>
      <c r="F24" s="21" t="s">
        <v>150</v>
      </c>
      <c r="G24" s="21" t="s">
        <v>151</v>
      </c>
      <c r="H24" s="21" t="s">
        <v>184</v>
      </c>
      <c r="I24" s="21" t="s">
        <v>185</v>
      </c>
      <c r="J24" s="21" t="s">
        <v>186</v>
      </c>
      <c r="K24" s="20" t="n">
        <v>105</v>
      </c>
      <c r="L24" s="4"/>
      <c r="M24" s="23"/>
      <c r="N24" s="24"/>
      <c r="O24" s="24"/>
      <c r="P24" s="25" t="str">
        <f aca="false">IF(N24="","",IF(LEN(N24)-LEN(SUBSTITUTE(N24,":",""))=2,LEFT(N24,FIND(":",N24)-1)*3600+MID(N24,FIND(":",N24)+1,2)*60+RIGHT(N24,2),LEFT(N24,FIND(":",N24)-1)*60+RIGHT(N24,2)))</f>
        <v/>
      </c>
      <c r="Q24" s="25" t="str">
        <f aca="false">IF(O24="","",IF(LEN(O24)-LEN(SUBSTITUTE(O24,":",""))=2,LEFT(O24,FIND(":",O24)-1)*3600+MID(O24,FIND(":",O24)+1,2)*60+RIGHT(O24,2),LEFT(O24,FIND(":",O24)-1)*60+RIGHT(O24,2)))</f>
        <v/>
      </c>
      <c r="R24" s="25" t="str">
        <f aca="false">IF(OR(P24="",Q24=""),"",Q24-P24)</f>
        <v/>
      </c>
      <c r="S24" s="23"/>
      <c r="T24" s="25" t="str">
        <f aca="false">IF(R24="","",IF(AND(S24&lt;&gt;"",NOT(ISNUMBER(S24))),"painel inválido",R24-N(S24)))</f>
        <v/>
      </c>
      <c r="U24" s="25" t="str">
        <f aca="false">IF(NOT(ISNUMBER(T24)),"",IF(T24&gt;300,"sim","não"))</f>
        <v/>
      </c>
      <c r="V24" s="23"/>
      <c r="W24" s="23"/>
      <c r="X24" s="23"/>
      <c r="Y24" s="23"/>
      <c r="Z24" s="23"/>
      <c r="AA24" s="4"/>
      <c r="AB24" s="4"/>
      <c r="AC24" s="4"/>
      <c r="AD24" s="16" t="str">
        <f aca="false">TRIM(IF(AND(ISNUMBER(R24),R24&lt;=0),"t1 não é depois de t0; ","")&amp;IF(AND(C24="C",ISNUMBER(R24),S24=""),"falta o tempo no painel; ","")&amp;IF(AND(U24="sim",M24&lt;&gt;"F"),"acima do teto: deve ser F; ","")&amp;IF(AND(V24="s",M24&lt;&gt;"F"),"encerrada: deve ser F; ","")&amp;IF(AND(Y24="sim",M24&lt;&gt;"F"),"houve ajuda: deve ser F; ","")&amp;IF(AND(M24&lt;&gt;"",ISNUMBER(R24)=FALSE()),"falta t0 ou t1; ",""))</f>
        <v/>
      </c>
      <c r="AE24" s="26" t="str">
        <f aca="false">D24&amp;"|"&amp;C24</f>
        <v>IHC-1|S</v>
      </c>
    </row>
    <row r="25" customFormat="false" ht="57.45" hidden="false" customHeight="false" outlineLevel="0" collapsed="false">
      <c r="A25" s="20" t="n">
        <v>16</v>
      </c>
      <c r="B25" s="21" t="s">
        <v>177</v>
      </c>
      <c r="C25" s="22" t="s">
        <v>98</v>
      </c>
      <c r="D25" s="20" t="s">
        <v>155</v>
      </c>
      <c r="E25" s="20" t="s">
        <v>163</v>
      </c>
      <c r="F25" s="21" t="s">
        <v>156</v>
      </c>
      <c r="G25" s="21" t="s">
        <v>157</v>
      </c>
      <c r="H25" s="21" t="s">
        <v>187</v>
      </c>
      <c r="I25" s="21" t="s">
        <v>188</v>
      </c>
      <c r="J25" s="21" t="s">
        <v>189</v>
      </c>
      <c r="K25" s="20" t="n">
        <v>55</v>
      </c>
      <c r="L25" s="4"/>
      <c r="M25" s="23"/>
      <c r="N25" s="24"/>
      <c r="O25" s="24"/>
      <c r="P25" s="25" t="str">
        <f aca="false">IF(N25="","",IF(LEN(N25)-LEN(SUBSTITUTE(N25,":",""))=2,LEFT(N25,FIND(":",N25)-1)*3600+MID(N25,FIND(":",N25)+1,2)*60+RIGHT(N25,2),LEFT(N25,FIND(":",N25)-1)*60+RIGHT(N25,2)))</f>
        <v/>
      </c>
      <c r="Q25" s="25" t="str">
        <f aca="false">IF(O25="","",IF(LEN(O25)-LEN(SUBSTITUTE(O25,":",""))=2,LEFT(O25,FIND(":",O25)-1)*3600+MID(O25,FIND(":",O25)+1,2)*60+RIGHT(O25,2),LEFT(O25,FIND(":",O25)-1)*60+RIGHT(O25,2)))</f>
        <v/>
      </c>
      <c r="R25" s="25" t="str">
        <f aca="false">IF(OR(P25="",Q25=""),"",Q25-P25)</f>
        <v/>
      </c>
      <c r="S25" s="23"/>
      <c r="T25" s="25" t="str">
        <f aca="false">IF(R25="","",IF(AND(S25&lt;&gt;"",NOT(ISNUMBER(S25))),"painel inválido",R25-N(S25)))</f>
        <v/>
      </c>
      <c r="U25" s="25" t="str">
        <f aca="false">IF(NOT(ISNUMBER(T25)),"",IF(T25&gt;300,"sim","não"))</f>
        <v/>
      </c>
      <c r="V25" s="23"/>
      <c r="W25" s="23"/>
      <c r="X25" s="23"/>
      <c r="Y25" s="23"/>
      <c r="Z25" s="23"/>
      <c r="AA25" s="4"/>
      <c r="AB25" s="4"/>
      <c r="AC25" s="4"/>
      <c r="AD25" s="16" t="str">
        <f aca="false">TRIM(IF(AND(ISNUMBER(R25),R25&lt;=0),"t1 não é depois de t0; ","")&amp;IF(AND(C25="C",ISNUMBER(R25),S25=""),"falta o tempo no painel; ","")&amp;IF(AND(U25="sim",M25&lt;&gt;"F"),"acima do teto: deve ser F; ","")&amp;IF(AND(V25="s",M25&lt;&gt;"F"),"encerrada: deve ser F; ","")&amp;IF(AND(Y25="sim",M25&lt;&gt;"F"),"houve ajuda: deve ser F; ","")&amp;IF(AND(M25&lt;&gt;"",ISNUMBER(R25)=FALSE()),"falta t0 ou t1; ",""))</f>
        <v/>
      </c>
      <c r="AE25" s="26" t="str">
        <f aca="false">D25&amp;"|"&amp;C25</f>
        <v>EDU-1|S</v>
      </c>
    </row>
    <row r="26" customFormat="false" ht="15" hidden="false" customHeight="false" outlineLevel="0" collapsed="false">
      <c r="A26" s="18" t="s">
        <v>190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customFormat="false" ht="35.05" hidden="false" customHeight="false" outlineLevel="0" collapsed="false">
      <c r="A27" s="20" t="n">
        <v>17</v>
      </c>
      <c r="B27" s="21" t="s">
        <v>191</v>
      </c>
      <c r="C27" s="22" t="s">
        <v>98</v>
      </c>
      <c r="D27" s="20" t="s">
        <v>192</v>
      </c>
      <c r="E27" s="20" t="s">
        <v>91</v>
      </c>
      <c r="F27" s="21" t="s">
        <v>193</v>
      </c>
      <c r="G27" s="21" t="s">
        <v>194</v>
      </c>
      <c r="H27" s="21" t="s">
        <v>195</v>
      </c>
      <c r="I27" s="21" t="s">
        <v>196</v>
      </c>
      <c r="J27" s="21" t="s">
        <v>197</v>
      </c>
      <c r="K27" s="20" t="n">
        <v>70</v>
      </c>
      <c r="L27" s="4"/>
      <c r="M27" s="23"/>
      <c r="N27" s="24"/>
      <c r="O27" s="24"/>
      <c r="P27" s="25" t="str">
        <f aca="false">IF(N27="","",IF(LEN(N27)-LEN(SUBSTITUTE(N27,":",""))=2,LEFT(N27,FIND(":",N27)-1)*3600+MID(N27,FIND(":",N27)+1,2)*60+RIGHT(N27,2),LEFT(N27,FIND(":",N27)-1)*60+RIGHT(N27,2)))</f>
        <v/>
      </c>
      <c r="Q27" s="25" t="str">
        <f aca="false">IF(O27="","",IF(LEN(O27)-LEN(SUBSTITUTE(O27,":",""))=2,LEFT(O27,FIND(":",O27)-1)*3600+MID(O27,FIND(":",O27)+1,2)*60+RIGHT(O27,2),LEFT(O27,FIND(":",O27)-1)*60+RIGHT(O27,2)))</f>
        <v/>
      </c>
      <c r="R27" s="25" t="str">
        <f aca="false">IF(OR(P27="",Q27=""),"",Q27-P27)</f>
        <v/>
      </c>
      <c r="S27" s="23"/>
      <c r="T27" s="25" t="str">
        <f aca="false">IF(R27="","",IF(AND(S27&lt;&gt;"",NOT(ISNUMBER(S27))),"painel inválido",R27-N(S27)))</f>
        <v/>
      </c>
      <c r="U27" s="25" t="str">
        <f aca="false">IF(NOT(ISNUMBER(T27)),"",IF(T27&gt;300,"sim","não"))</f>
        <v/>
      </c>
      <c r="V27" s="23"/>
      <c r="W27" s="23"/>
      <c r="X27" s="23"/>
      <c r="Y27" s="23"/>
      <c r="Z27" s="23"/>
      <c r="AA27" s="4"/>
      <c r="AB27" s="4"/>
      <c r="AC27" s="4"/>
      <c r="AD27" s="16" t="str">
        <f aca="false">TRIM(IF(AND(ISNUMBER(R27),R27&lt;=0),"t1 não é depois de t0; ","")&amp;IF(AND(C27="C",ISNUMBER(R27),S27=""),"falta o tempo no painel; ","")&amp;IF(AND(U27="sim",M27&lt;&gt;"F"),"acima do teto: deve ser F; ","")&amp;IF(AND(V27="s",M27&lt;&gt;"F"),"encerrada: deve ser F; ","")&amp;IF(AND(Y27="sim",M27&lt;&gt;"F"),"houve ajuda: deve ser F; ","")&amp;IF(AND(M27&lt;&gt;"",ISNUMBER(R27)=FALSE()),"falta t0 ou t1; ",""))</f>
        <v/>
      </c>
      <c r="AE27" s="26" t="str">
        <f aca="false">D27&amp;"|"&amp;C27</f>
        <v>JIS-1|S</v>
      </c>
    </row>
    <row r="28" customFormat="false" ht="35.05" hidden="false" customHeight="false" outlineLevel="0" collapsed="false">
      <c r="A28" s="20" t="n">
        <v>18</v>
      </c>
      <c r="B28" s="21" t="s">
        <v>191</v>
      </c>
      <c r="C28" s="22" t="s">
        <v>98</v>
      </c>
      <c r="D28" s="20" t="s">
        <v>198</v>
      </c>
      <c r="E28" s="20" t="s">
        <v>91</v>
      </c>
      <c r="F28" s="21" t="s">
        <v>199</v>
      </c>
      <c r="G28" s="21" t="s">
        <v>200</v>
      </c>
      <c r="H28" s="21" t="s">
        <v>201</v>
      </c>
      <c r="I28" s="21" t="s">
        <v>202</v>
      </c>
      <c r="J28" s="21" t="s">
        <v>203</v>
      </c>
      <c r="K28" s="20" t="n">
        <v>35</v>
      </c>
      <c r="L28" s="4"/>
      <c r="M28" s="23"/>
      <c r="N28" s="24"/>
      <c r="O28" s="24"/>
      <c r="P28" s="25" t="str">
        <f aca="false">IF(N28="","",IF(LEN(N28)-LEN(SUBSTITUTE(N28,":",""))=2,LEFT(N28,FIND(":",N28)-1)*3600+MID(N28,FIND(":",N28)+1,2)*60+RIGHT(N28,2),LEFT(N28,FIND(":",N28)-1)*60+RIGHT(N28,2)))</f>
        <v/>
      </c>
      <c r="Q28" s="25" t="str">
        <f aca="false">IF(O28="","",IF(LEN(O28)-LEN(SUBSTITUTE(O28,":",""))=2,LEFT(O28,FIND(":",O28)-1)*3600+MID(O28,FIND(":",O28)+1,2)*60+RIGHT(O28,2),LEFT(O28,FIND(":",O28)-1)*60+RIGHT(O28,2)))</f>
        <v/>
      </c>
      <c r="R28" s="25" t="str">
        <f aca="false">IF(OR(P28="",Q28=""),"",Q28-P28)</f>
        <v/>
      </c>
      <c r="S28" s="23"/>
      <c r="T28" s="25" t="str">
        <f aca="false">IF(R28="","",IF(AND(S28&lt;&gt;"",NOT(ISNUMBER(S28))),"painel inválido",R28-N(S28)))</f>
        <v/>
      </c>
      <c r="U28" s="25" t="str">
        <f aca="false">IF(NOT(ISNUMBER(T28)),"",IF(T28&gt;300,"sim","não"))</f>
        <v/>
      </c>
      <c r="V28" s="23"/>
      <c r="W28" s="23"/>
      <c r="X28" s="23"/>
      <c r="Y28" s="23"/>
      <c r="Z28" s="23"/>
      <c r="AA28" s="4"/>
      <c r="AB28" s="4"/>
      <c r="AC28" s="4"/>
      <c r="AD28" s="16" t="str">
        <f aca="false">TRIM(IF(AND(ISNUMBER(R28),R28&lt;=0),"t1 não é depois de t0; ","")&amp;IF(AND(C28="C",ISNUMBER(R28),S28=""),"falta o tempo no painel; ","")&amp;IF(AND(U28="sim",M28&lt;&gt;"F"),"acima do teto: deve ser F; ","")&amp;IF(AND(V28="s",M28&lt;&gt;"F"),"encerrada: deve ser F; ","")&amp;IF(AND(Y28="sim",M28&lt;&gt;"F"),"houve ajuda: deve ser F; ","")&amp;IF(AND(M28&lt;&gt;"",ISNUMBER(R28)=FALSE()),"falta t0 ou t1; ",""))</f>
        <v/>
      </c>
      <c r="AE28" s="26" t="str">
        <f aca="false">D28&amp;"|"&amp;C28</f>
        <v>EDU-3|S</v>
      </c>
    </row>
    <row r="29" customFormat="false" ht="15" hidden="false" customHeight="false" outlineLevel="0" collapsed="false">
      <c r="A29" s="18" t="s">
        <v>204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customFormat="false" ht="35.05" hidden="false" customHeight="false" outlineLevel="0" collapsed="false">
      <c r="A30" s="20" t="n">
        <v>19</v>
      </c>
      <c r="B30" s="21" t="s">
        <v>205</v>
      </c>
      <c r="C30" s="27" t="s">
        <v>136</v>
      </c>
      <c r="D30" s="20" t="s">
        <v>206</v>
      </c>
      <c r="E30" s="20" t="s">
        <v>91</v>
      </c>
      <c r="F30" s="21" t="s">
        <v>207</v>
      </c>
      <c r="G30" s="21" t="s">
        <v>208</v>
      </c>
      <c r="H30" s="21" t="s">
        <v>209</v>
      </c>
      <c r="I30" s="21" t="s">
        <v>210</v>
      </c>
      <c r="J30" s="21" t="s">
        <v>211</v>
      </c>
      <c r="K30" s="20" t="n">
        <v>130</v>
      </c>
      <c r="L30" s="4"/>
      <c r="M30" s="23"/>
      <c r="N30" s="24"/>
      <c r="O30" s="24"/>
      <c r="P30" s="25" t="str">
        <f aca="false">IF(N30="","",IF(LEN(N30)-LEN(SUBSTITUTE(N30,":",""))=2,LEFT(N30,FIND(":",N30)-1)*3600+MID(N30,FIND(":",N30)+1,2)*60+RIGHT(N30,2),LEFT(N30,FIND(":",N30)-1)*60+RIGHT(N30,2)))</f>
        <v/>
      </c>
      <c r="Q30" s="25" t="str">
        <f aca="false">IF(O30="","",IF(LEN(O30)-LEN(SUBSTITUTE(O30,":",""))=2,LEFT(O30,FIND(":",O30)-1)*3600+MID(O30,FIND(":",O30)+1,2)*60+RIGHT(O30,2),LEFT(O30,FIND(":",O30)-1)*60+RIGHT(O30,2)))</f>
        <v/>
      </c>
      <c r="R30" s="25" t="str">
        <f aca="false">IF(OR(P30="",Q30=""),"",Q30-P30)</f>
        <v/>
      </c>
      <c r="S30" s="23"/>
      <c r="T30" s="25" t="str">
        <f aca="false">IF(R30="","",IF(AND(S30&lt;&gt;"",NOT(ISNUMBER(S30))),"painel inválido",R30-N(S30)))</f>
        <v/>
      </c>
      <c r="U30" s="25" t="str">
        <f aca="false">IF(NOT(ISNUMBER(T30)),"",IF(T30&gt;300,"sim","não"))</f>
        <v/>
      </c>
      <c r="V30" s="23"/>
      <c r="W30" s="23"/>
      <c r="X30" s="23"/>
      <c r="Y30" s="23"/>
      <c r="Z30" s="23"/>
      <c r="AA30" s="4"/>
      <c r="AB30" s="4"/>
      <c r="AC30" s="4"/>
      <c r="AD30" s="16" t="str">
        <f aca="false">TRIM(IF(AND(ISNUMBER(R30),R30&lt;=0),"t1 não é depois de t0; ","")&amp;IF(AND(C30="C",ISNUMBER(R30),S30=""),"falta o tempo no painel; ","")&amp;IF(AND(U30="sim",M30&lt;&gt;"F"),"acima do teto: deve ser F; ","")&amp;IF(AND(V30="s",M30&lt;&gt;"F"),"encerrada: deve ser F; ","")&amp;IF(AND(Y30="sim",M30&lt;&gt;"F"),"houve ajuda: deve ser F; ","")&amp;IF(AND(M30&lt;&gt;"",ISNUMBER(R30)=FALSE()),"falta t0 ou t1; ",""))</f>
        <v/>
      </c>
      <c r="AE30" s="26" t="str">
        <f aca="false">D30&amp;"|"&amp;C30</f>
        <v>SBC-1|C</v>
      </c>
    </row>
    <row r="31" customFormat="false" ht="46.25" hidden="false" customHeight="false" outlineLevel="0" collapsed="false">
      <c r="A31" s="20" t="n">
        <v>20</v>
      </c>
      <c r="B31" s="21" t="s">
        <v>205</v>
      </c>
      <c r="C31" s="27" t="s">
        <v>136</v>
      </c>
      <c r="D31" s="20" t="s">
        <v>212</v>
      </c>
      <c r="E31" s="20" t="s">
        <v>91</v>
      </c>
      <c r="F31" s="21" t="s">
        <v>213</v>
      </c>
      <c r="G31" s="21" t="s">
        <v>208</v>
      </c>
      <c r="H31" s="21" t="s">
        <v>214</v>
      </c>
      <c r="I31" s="21" t="s">
        <v>215</v>
      </c>
      <c r="J31" s="21" t="s">
        <v>216</v>
      </c>
      <c r="K31" s="20" t="n">
        <v>105</v>
      </c>
      <c r="L31" s="4"/>
      <c r="M31" s="23"/>
      <c r="N31" s="24"/>
      <c r="O31" s="24"/>
      <c r="P31" s="25" t="str">
        <f aca="false">IF(N31="","",IF(LEN(N31)-LEN(SUBSTITUTE(N31,":",""))=2,LEFT(N31,FIND(":",N31)-1)*3600+MID(N31,FIND(":",N31)+1,2)*60+RIGHT(N31,2),LEFT(N31,FIND(":",N31)-1)*60+RIGHT(N31,2)))</f>
        <v/>
      </c>
      <c r="Q31" s="25" t="str">
        <f aca="false">IF(O31="","",IF(LEN(O31)-LEN(SUBSTITUTE(O31,":",""))=2,LEFT(O31,FIND(":",O31)-1)*3600+MID(O31,FIND(":",O31)+1,2)*60+RIGHT(O31,2),LEFT(O31,FIND(":",O31)-1)*60+RIGHT(O31,2)))</f>
        <v/>
      </c>
      <c r="R31" s="25" t="str">
        <f aca="false">IF(OR(P31="",Q31=""),"",Q31-P31)</f>
        <v/>
      </c>
      <c r="S31" s="23"/>
      <c r="T31" s="25" t="str">
        <f aca="false">IF(R31="","",IF(AND(S31&lt;&gt;"",NOT(ISNUMBER(S31))),"painel inválido",R31-N(S31)))</f>
        <v/>
      </c>
      <c r="U31" s="25" t="str">
        <f aca="false">IF(NOT(ISNUMBER(T31)),"",IF(T31&gt;300,"sim","não"))</f>
        <v/>
      </c>
      <c r="V31" s="23"/>
      <c r="W31" s="23"/>
      <c r="X31" s="23"/>
      <c r="Y31" s="23"/>
      <c r="Z31" s="23"/>
      <c r="AA31" s="4"/>
      <c r="AB31" s="4"/>
      <c r="AC31" s="4"/>
      <c r="AD31" s="16" t="str">
        <f aca="false">TRIM(IF(AND(ISNUMBER(R31),R31&lt;=0),"t1 não é depois de t0; ","")&amp;IF(AND(C31="C",ISNUMBER(R31),S31=""),"falta o tempo no painel; ","")&amp;IF(AND(U31="sim",M31&lt;&gt;"F"),"acima do teto: deve ser F; ","")&amp;IF(AND(V31="s",M31&lt;&gt;"F"),"encerrada: deve ser F; ","")&amp;IF(AND(Y31="sim",M31&lt;&gt;"F"),"houve ajuda: deve ser F; ","")&amp;IF(AND(M31&lt;&gt;"",ISNUMBER(R31)=FALSE()),"falta t0 ou t1; ",""))</f>
        <v/>
      </c>
      <c r="AE31" s="26" t="str">
        <f aca="false">D31&amp;"|"&amp;C31</f>
        <v>SBC-2|C</v>
      </c>
    </row>
    <row r="32" customFormat="false" ht="15" hidden="false" customHeight="false" outlineLevel="0" collapsed="false">
      <c r="A32" s="18" t="s">
        <v>217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customFormat="false" ht="35.05" hidden="false" customHeight="false" outlineLevel="0" collapsed="false">
      <c r="A33" s="20" t="n">
        <v>21</v>
      </c>
      <c r="B33" s="21" t="s">
        <v>218</v>
      </c>
      <c r="C33" s="27" t="s">
        <v>136</v>
      </c>
      <c r="D33" s="20" t="s">
        <v>192</v>
      </c>
      <c r="E33" s="20" t="s">
        <v>163</v>
      </c>
      <c r="F33" s="21" t="s">
        <v>193</v>
      </c>
      <c r="G33" s="21" t="s">
        <v>194</v>
      </c>
      <c r="H33" s="21" t="s">
        <v>219</v>
      </c>
      <c r="I33" s="21" t="s">
        <v>220</v>
      </c>
      <c r="J33" s="21" t="s">
        <v>221</v>
      </c>
      <c r="K33" s="20" t="n">
        <v>130</v>
      </c>
      <c r="L33" s="4"/>
      <c r="M33" s="23"/>
      <c r="N33" s="24"/>
      <c r="O33" s="24"/>
      <c r="P33" s="25" t="str">
        <f aca="false">IF(N33="","",IF(LEN(N33)-LEN(SUBSTITUTE(N33,":",""))=2,LEFT(N33,FIND(":",N33)-1)*3600+MID(N33,FIND(":",N33)+1,2)*60+RIGHT(N33,2),LEFT(N33,FIND(":",N33)-1)*60+RIGHT(N33,2)))</f>
        <v/>
      </c>
      <c r="Q33" s="25" t="str">
        <f aca="false">IF(O33="","",IF(LEN(O33)-LEN(SUBSTITUTE(O33,":",""))=2,LEFT(O33,FIND(":",O33)-1)*3600+MID(O33,FIND(":",O33)+1,2)*60+RIGHT(O33,2),LEFT(O33,FIND(":",O33)-1)*60+RIGHT(O33,2)))</f>
        <v/>
      </c>
      <c r="R33" s="25" t="str">
        <f aca="false">IF(OR(P33="",Q33=""),"",Q33-P33)</f>
        <v/>
      </c>
      <c r="S33" s="23"/>
      <c r="T33" s="25" t="str">
        <f aca="false">IF(R33="","",IF(AND(S33&lt;&gt;"",NOT(ISNUMBER(S33))),"painel inválido",R33-N(S33)))</f>
        <v/>
      </c>
      <c r="U33" s="25" t="str">
        <f aca="false">IF(NOT(ISNUMBER(T33)),"",IF(T33&gt;300,"sim","não"))</f>
        <v/>
      </c>
      <c r="V33" s="23"/>
      <c r="W33" s="23"/>
      <c r="X33" s="23"/>
      <c r="Y33" s="23"/>
      <c r="Z33" s="23"/>
      <c r="AA33" s="4"/>
      <c r="AB33" s="4"/>
      <c r="AC33" s="4"/>
      <c r="AD33" s="16" t="str">
        <f aca="false">TRIM(IF(AND(ISNUMBER(R33),R33&lt;=0),"t1 não é depois de t0; ","")&amp;IF(AND(C33="C",ISNUMBER(R33),S33=""),"falta o tempo no painel; ","")&amp;IF(AND(U33="sim",M33&lt;&gt;"F"),"acima do teto: deve ser F; ","")&amp;IF(AND(V33="s",M33&lt;&gt;"F"),"encerrada: deve ser F; ","")&amp;IF(AND(Y33="sim",M33&lt;&gt;"F"),"houve ajuda: deve ser F; ","")&amp;IF(AND(M33&lt;&gt;"",ISNUMBER(R33)=FALSE()),"falta t0 ou t1; ",""))</f>
        <v/>
      </c>
      <c r="AE33" s="26" t="str">
        <f aca="false">D33&amp;"|"&amp;C33</f>
        <v>JIS-1|C</v>
      </c>
    </row>
    <row r="34" customFormat="false" ht="35.05" hidden="false" customHeight="false" outlineLevel="0" collapsed="false">
      <c r="A34" s="20" t="n">
        <v>22</v>
      </c>
      <c r="B34" s="21" t="s">
        <v>218</v>
      </c>
      <c r="C34" s="27" t="s">
        <v>136</v>
      </c>
      <c r="D34" s="20" t="s">
        <v>198</v>
      </c>
      <c r="E34" s="20" t="s">
        <v>163</v>
      </c>
      <c r="F34" s="21" t="s">
        <v>199</v>
      </c>
      <c r="G34" s="21" t="s">
        <v>200</v>
      </c>
      <c r="H34" s="21" t="s">
        <v>222</v>
      </c>
      <c r="I34" s="21" t="s">
        <v>223</v>
      </c>
      <c r="J34" s="21" t="s">
        <v>203</v>
      </c>
      <c r="K34" s="20" t="n">
        <v>55</v>
      </c>
      <c r="L34" s="4"/>
      <c r="M34" s="23"/>
      <c r="N34" s="24"/>
      <c r="O34" s="24"/>
      <c r="P34" s="25" t="str">
        <f aca="false">IF(N34="","",IF(LEN(N34)-LEN(SUBSTITUTE(N34,":",""))=2,LEFT(N34,FIND(":",N34)-1)*3600+MID(N34,FIND(":",N34)+1,2)*60+RIGHT(N34,2),LEFT(N34,FIND(":",N34)-1)*60+RIGHT(N34,2)))</f>
        <v/>
      </c>
      <c r="Q34" s="25" t="str">
        <f aca="false">IF(O34="","",IF(LEN(O34)-LEN(SUBSTITUTE(O34,":",""))=2,LEFT(O34,FIND(":",O34)-1)*3600+MID(O34,FIND(":",O34)+1,2)*60+RIGHT(O34,2),LEFT(O34,FIND(":",O34)-1)*60+RIGHT(O34,2)))</f>
        <v/>
      </c>
      <c r="R34" s="25" t="str">
        <f aca="false">IF(OR(P34="",Q34=""),"",Q34-P34)</f>
        <v/>
      </c>
      <c r="S34" s="23"/>
      <c r="T34" s="25" t="str">
        <f aca="false">IF(R34="","",IF(AND(S34&lt;&gt;"",NOT(ISNUMBER(S34))),"painel inválido",R34-N(S34)))</f>
        <v/>
      </c>
      <c r="U34" s="25" t="str">
        <f aca="false">IF(NOT(ISNUMBER(T34)),"",IF(T34&gt;300,"sim","não"))</f>
        <v/>
      </c>
      <c r="V34" s="23"/>
      <c r="W34" s="23"/>
      <c r="X34" s="23"/>
      <c r="Y34" s="23"/>
      <c r="Z34" s="23"/>
      <c r="AA34" s="4"/>
      <c r="AB34" s="4"/>
      <c r="AC34" s="4"/>
      <c r="AD34" s="16" t="str">
        <f aca="false">TRIM(IF(AND(ISNUMBER(R34),R34&lt;=0),"t1 não é depois de t0; ","")&amp;IF(AND(C34="C",ISNUMBER(R34),S34=""),"falta o tempo no painel; ","")&amp;IF(AND(U34="sim",M34&lt;&gt;"F"),"acima do teto: deve ser F; ","")&amp;IF(AND(V34="s",M34&lt;&gt;"F"),"encerrada: deve ser F; ","")&amp;IF(AND(Y34="sim",M34&lt;&gt;"F"),"houve ajuda: deve ser F; ","")&amp;IF(AND(M34&lt;&gt;"",ISNUMBER(R34)=FALSE()),"falta t0 ou t1; ",""))</f>
        <v/>
      </c>
      <c r="AE34" s="26" t="str">
        <f aca="false">D34&amp;"|"&amp;C34</f>
        <v>EDU-3|C</v>
      </c>
    </row>
    <row r="35" customFormat="false" ht="15" hidden="false" customHeight="false" outlineLevel="0" collapsed="false">
      <c r="A35" s="18" t="s">
        <v>224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customFormat="false" ht="35.05" hidden="false" customHeight="false" outlineLevel="0" collapsed="false">
      <c r="A36" s="20" t="n">
        <v>23</v>
      </c>
      <c r="B36" s="21" t="s">
        <v>225</v>
      </c>
      <c r="C36" s="22" t="s">
        <v>98</v>
      </c>
      <c r="D36" s="20" t="s">
        <v>206</v>
      </c>
      <c r="E36" s="20" t="s">
        <v>163</v>
      </c>
      <c r="F36" s="21" t="s">
        <v>207</v>
      </c>
      <c r="G36" s="21" t="s">
        <v>208</v>
      </c>
      <c r="H36" s="21" t="s">
        <v>226</v>
      </c>
      <c r="I36" s="21" t="s">
        <v>227</v>
      </c>
      <c r="J36" s="21" t="s">
        <v>228</v>
      </c>
      <c r="K36" s="20" t="n">
        <v>90</v>
      </c>
      <c r="L36" s="4"/>
      <c r="M36" s="23"/>
      <c r="N36" s="24"/>
      <c r="O36" s="24"/>
      <c r="P36" s="25" t="str">
        <f aca="false">IF(N36="","",IF(LEN(N36)-LEN(SUBSTITUTE(N36,":",""))=2,LEFT(N36,FIND(":",N36)-1)*3600+MID(N36,FIND(":",N36)+1,2)*60+RIGHT(N36,2),LEFT(N36,FIND(":",N36)-1)*60+RIGHT(N36,2)))</f>
        <v/>
      </c>
      <c r="Q36" s="25" t="str">
        <f aca="false">IF(O36="","",IF(LEN(O36)-LEN(SUBSTITUTE(O36,":",""))=2,LEFT(O36,FIND(":",O36)-1)*3600+MID(O36,FIND(":",O36)+1,2)*60+RIGHT(O36,2),LEFT(O36,FIND(":",O36)-1)*60+RIGHT(O36,2)))</f>
        <v/>
      </c>
      <c r="R36" s="25" t="str">
        <f aca="false">IF(OR(P36="",Q36=""),"",Q36-P36)</f>
        <v/>
      </c>
      <c r="S36" s="23"/>
      <c r="T36" s="25" t="str">
        <f aca="false">IF(R36="","",IF(AND(S36&lt;&gt;"",NOT(ISNUMBER(S36))),"painel inválido",R36-N(S36)))</f>
        <v/>
      </c>
      <c r="U36" s="25" t="str">
        <f aca="false">IF(NOT(ISNUMBER(T36)),"",IF(T36&gt;300,"sim","não"))</f>
        <v/>
      </c>
      <c r="V36" s="23"/>
      <c r="W36" s="23"/>
      <c r="X36" s="23"/>
      <c r="Y36" s="23"/>
      <c r="Z36" s="23"/>
      <c r="AA36" s="4"/>
      <c r="AB36" s="4"/>
      <c r="AC36" s="4"/>
      <c r="AD36" s="16" t="str">
        <f aca="false">TRIM(IF(AND(ISNUMBER(R36),R36&lt;=0),"t1 não é depois de t0; ","")&amp;IF(AND(C36="C",ISNUMBER(R36),S36=""),"falta o tempo no painel; ","")&amp;IF(AND(U36="sim",M36&lt;&gt;"F"),"acima do teto: deve ser F; ","")&amp;IF(AND(V36="s",M36&lt;&gt;"F"),"encerrada: deve ser F; ","")&amp;IF(AND(Y36="sim",M36&lt;&gt;"F"),"houve ajuda: deve ser F; ","")&amp;IF(AND(M36&lt;&gt;"",ISNUMBER(R36)=FALSE()),"falta t0 ou t1; ",""))</f>
        <v/>
      </c>
      <c r="AE36" s="26" t="str">
        <f aca="false">D36&amp;"|"&amp;C36</f>
        <v>SBC-1|S</v>
      </c>
    </row>
    <row r="37" customFormat="false" ht="23.85" hidden="false" customHeight="false" outlineLevel="0" collapsed="false">
      <c r="A37" s="20" t="n">
        <v>24</v>
      </c>
      <c r="B37" s="21" t="s">
        <v>225</v>
      </c>
      <c r="C37" s="22" t="s">
        <v>98</v>
      </c>
      <c r="D37" s="20" t="s">
        <v>212</v>
      </c>
      <c r="E37" s="20" t="s">
        <v>163</v>
      </c>
      <c r="F37" s="21" t="s">
        <v>213</v>
      </c>
      <c r="G37" s="21" t="s">
        <v>208</v>
      </c>
      <c r="H37" s="21" t="s">
        <v>229</v>
      </c>
      <c r="I37" s="21" t="s">
        <v>230</v>
      </c>
      <c r="J37" s="21" t="s">
        <v>231</v>
      </c>
      <c r="K37" s="20" t="n">
        <v>65</v>
      </c>
      <c r="L37" s="4"/>
      <c r="M37" s="23"/>
      <c r="N37" s="24"/>
      <c r="O37" s="24"/>
      <c r="P37" s="25" t="str">
        <f aca="false">IF(N37="","",IF(LEN(N37)-LEN(SUBSTITUTE(N37,":",""))=2,LEFT(N37,FIND(":",N37)-1)*3600+MID(N37,FIND(":",N37)+1,2)*60+RIGHT(N37,2),LEFT(N37,FIND(":",N37)-1)*60+RIGHT(N37,2)))</f>
        <v/>
      </c>
      <c r="Q37" s="25" t="str">
        <f aca="false">IF(O37="","",IF(LEN(O37)-LEN(SUBSTITUTE(O37,":",""))=2,LEFT(O37,FIND(":",O37)-1)*3600+MID(O37,FIND(":",O37)+1,2)*60+RIGHT(O37,2),LEFT(O37,FIND(":",O37)-1)*60+RIGHT(O37,2)))</f>
        <v/>
      </c>
      <c r="R37" s="25" t="str">
        <f aca="false">IF(OR(P37="",Q37=""),"",Q37-P37)</f>
        <v/>
      </c>
      <c r="S37" s="23"/>
      <c r="T37" s="25" t="str">
        <f aca="false">IF(R37="","",IF(AND(S37&lt;&gt;"",NOT(ISNUMBER(S37))),"painel inválido",R37-N(S37)))</f>
        <v/>
      </c>
      <c r="U37" s="25" t="str">
        <f aca="false">IF(NOT(ISNUMBER(T37)),"",IF(T37&gt;300,"sim","não"))</f>
        <v/>
      </c>
      <c r="V37" s="23"/>
      <c r="W37" s="23"/>
      <c r="X37" s="23"/>
      <c r="Y37" s="23"/>
      <c r="Z37" s="23"/>
      <c r="AA37" s="4"/>
      <c r="AB37" s="4"/>
      <c r="AC37" s="4"/>
      <c r="AD37" s="16" t="str">
        <f aca="false">TRIM(IF(AND(ISNUMBER(R37),R37&lt;=0),"t1 não é depois de t0; ","")&amp;IF(AND(C37="C",ISNUMBER(R37),S37=""),"falta o tempo no painel; ","")&amp;IF(AND(U37="sim",M37&lt;&gt;"F"),"acima do teto: deve ser F; ","")&amp;IF(AND(V37="s",M37&lt;&gt;"F"),"encerrada: deve ser F; ","")&amp;IF(AND(Y37="sim",M37&lt;&gt;"F"),"houve ajuda: deve ser F; ","")&amp;IF(AND(M37&lt;&gt;"",ISNUMBER(R37)=FALSE()),"falta t0 ou t1; ",""))</f>
        <v/>
      </c>
      <c r="AE37" s="26" t="str">
        <f aca="false">D37&amp;"|"&amp;C37</f>
        <v>SBC-2|S</v>
      </c>
    </row>
  </sheetData>
  <autoFilter ref="A3:AE37"/>
  <mergeCells count="1">
    <mergeCell ref="A2:L2"/>
  </mergeCells>
  <dataValidations count="10">
    <dataValidation allowBlank="true" error="Use S (sucesso), P (parcial) ou F (falha)." errorStyle="stop" errorTitle="Valor fora do formato" operator="between" showDropDown="false" showErrorMessage="true" showInputMessage="false" sqref="M5:M37" type="list">
      <formula1>"S,P,F"</formula1>
      <formula2>0</formula2>
    </dataValidation>
    <dataValidation allowBlank="true" error="SEQ vai de 1 (muito difícil) a 7 (muito fácil)." errorStyle="stop" errorTitle="Valor fora do formato" operator="between" showDropDown="false" showErrorMessage="true" showInputMessage="false" sqref="Z5:Z37" type="whole">
      <formula1>1</formula1>
      <formula2>7</formula2>
    </dataValidation>
    <dataValidation allowBlank="true" error="Tempo no painel em segundos (número ≥ 0)." errorStyle="stop" errorTitle="Valor fora do formato" operator="greaterThanOrEqual" showDropDown="false" showErrorMessage="true" showInputMessage="false" sqref="S5:S37" type="decimal">
      <formula1>0</formula1>
      <formula2>0</formula2>
    </dataValidation>
    <dataValidation allowBlank="true" error="Número inteiro ≥ 0." errorStyle="stop" errorTitle="Valor fora do formato" operator="greaterThanOrEqual" showDropDown="false" showErrorMessage="true" showInputMessage="false" sqref="W5:W37" type="whole">
      <formula1>0</formula1>
      <formula2>0</formula2>
    </dataValidation>
    <dataValidation allowBlank="true" error="Número inteiro ≥ 0." errorStyle="stop" errorTitle="Valor fora do formato" operator="greaterThanOrEqual" showDropDown="false" showErrorMessage="true" showInputMessage="false" sqref="X5:X37" type="whole">
      <formula1>0</formula1>
      <formula2>0</formula2>
    </dataValidation>
    <dataValidation allowBlank="true" error="Use s ou n." errorStyle="stop" errorTitle="Valor fora do formato" operator="between" showDropDown="false" showErrorMessage="true" showInputMessage="false" sqref="V5:V37" type="list">
      <formula1>"s,n"</formula1>
      <formula2>0</formula2>
    </dataValidation>
    <dataValidation allowBlank="true" error="Use sim ou não." errorStyle="stop" errorTitle="Valor fora do formato" operator="between" showDropDown="false" showErrorMessage="true" showInputMessage="false" sqref="Y5:Y37" type="list">
      <formula1>"sim,não"</formula1>
      <formula2>0</formula2>
    </dataValidation>
    <dataValidation allowBlank="true" errorStyle="stop" operator="between" showDropDown="false" showErrorMessage="false" showInputMessage="false" sqref="AA5:AA37" type="list">
      <formula1>"cabeçalhos,lista de links,busca do NVDA,leitura linear,tabela,menu do site,busca do site,várias"</formula1>
      <formula2>0</formula2>
    </dataValidation>
    <dataValidation allowBlank="true" error="Use mm:ss ou h:mm:ss, sem frações de segundo nem quadros (ex.: 12:05 ou 1:02:03)." errorStyle="stop" errorTitle="Valor fora do formato" operator="between" showDropDown="false" showErrorMessage="true" showInputMessage="false" sqref="N5:N37" type="custom">
      <formula1>IF(N5="",1,IFERROR(AND(N5=TRIM(N5),ISERROR(FIND(".",N5)),MID(N5,LEN(N5)-2,1)=":",ISNUMBER(-RIGHT(N5,2)),ISNUMBER(-LEFT(N5,FIND(":",N5)-1)),IF(LEN(N5)-LEN(SUBSTITUTE(N5,":",""))=1,1,IF(LEN(N5)-LEN(SUBSTITUTE(N5,":",""))=2,MID(N5,LEN(N5)-5,1)=":",0))),0))</formula1>
      <formula2>0</formula2>
    </dataValidation>
    <dataValidation allowBlank="true" error="Use mm:ss ou h:mm:ss, sem frações de segundo nem quadros (ex.: 12:05 ou 1:02:03)." errorStyle="stop" errorTitle="Valor fora do formato" operator="between" showDropDown="false" showErrorMessage="true" showInputMessage="false" sqref="O5:O37" type="custom">
      <formula1>IF(O5="",1,IFERROR(AND(O5=TRIM(O5),ISERROR(FIND(".",O5)),MID(O5,LEN(O5)-2,1)=":",ISNUMBER(-RIGHT(O5,2)),ISNUMBER(-LEFT(O5,FIND(":",O5)-1)),IF(LEN(O5)-LEN(SUBSTITUTE(O5,":",""))=1,1,IF(LEN(O5)-LEN(SUBSTITUTE(O5,":",""))=2,MID(O5,LEN(O5)-5,1)=":",0))),0))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4" min="13" style="0" width="8"/>
  </cols>
  <sheetData>
    <row r="1" customFormat="false" ht="16.15" hidden="false" customHeight="false" outlineLevel="0" collapsed="false">
      <c r="A1" s="3" t="s">
        <v>232</v>
      </c>
    </row>
    <row r="2" customFormat="false" ht="15" hidden="false" customHeight="false" outlineLevel="0" collapsed="false">
      <c r="A2" s="6" t="s">
        <v>233</v>
      </c>
    </row>
    <row r="4" customFormat="false" ht="30" hidden="false" customHeight="true" outlineLevel="0" collapsed="false">
      <c r="A4" s="9" t="s">
        <v>60</v>
      </c>
      <c r="B4" s="9" t="s">
        <v>234</v>
      </c>
      <c r="C4" s="9" t="s">
        <v>235</v>
      </c>
      <c r="D4" s="9" t="s">
        <v>236</v>
      </c>
      <c r="E4" s="9" t="s">
        <v>237</v>
      </c>
      <c r="F4" s="9" t="s">
        <v>238</v>
      </c>
      <c r="G4" s="9" t="s">
        <v>239</v>
      </c>
      <c r="H4" s="9" t="s">
        <v>240</v>
      </c>
      <c r="I4" s="9" t="s">
        <v>241</v>
      </c>
      <c r="J4" s="9" t="s">
        <v>242</v>
      </c>
      <c r="K4" s="9"/>
      <c r="L4" s="9"/>
      <c r="M4" s="9"/>
      <c r="N4" s="9"/>
    </row>
    <row r="5" customFormat="false" ht="15" hidden="false" customHeight="false" outlineLevel="0" collapsed="false">
      <c r="A5" s="20" t="s">
        <v>98</v>
      </c>
      <c r="B5" s="25" t="n">
        <f aca="false">COUNTIFS(Roteiro!$C$5:$C$37,$A5,Roteiro!$M$5:$M$37,"S")+COUNTIFS(Roteiro!$C$5:$C$37,$A5,Roteiro!$M$5:$M$37,"P")+COUNTIFS(Roteiro!$C$5:$C$37,$A5,Roteiro!$M$5:$M$37,"F")</f>
        <v>0</v>
      </c>
      <c r="C5" s="25" t="n">
        <f aca="false">COUNTIFS(Roteiro!$C$5:$C$37,$A5,Roteiro!$M$5:$M$37,"S")</f>
        <v>0</v>
      </c>
      <c r="D5" s="25" t="n">
        <f aca="false">COUNTIFS(Roteiro!$C$5:$C$37,$A5,Roteiro!$M$5:$M$37,"P")</f>
        <v>0</v>
      </c>
      <c r="E5" s="25" t="n">
        <f aca="false">COUNTIFS(Roteiro!$C$5:$C$37,$A5,Roteiro!$M$5:$M$37,"F")</f>
        <v>0</v>
      </c>
      <c r="F5" s="28" t="str">
        <f aca="false">IF(B5=0,"",C5/B5)</f>
        <v/>
      </c>
      <c r="G5" s="29" t="str">
        <f aca="false">IFERROR((SUMIFS(Roteiro!$R$5:$R$37,Roteiro!$C$5:$C$37,$A5,Roteiro!$M$5:$M$37,"S")+SUMIFS(Roteiro!$R$5:$R$37,Roteiro!$C$5:$C$37,$A5,Roteiro!$M$5:$M$37,"P")+SUMIFS(Roteiro!$R$5:$R$37,Roteiro!$C$5:$C$37,$A5,Roteiro!$M$5:$M$37,"F"))/(COUNTIFS(Roteiro!$C$5:$C$37,$A5,Roteiro!$M$5:$M$37,"S",Roteiro!$R$5:$R$37,"&gt;-1E+300")+COUNTIFS(Roteiro!$C$5:$C$37,$A5,Roteiro!$M$5:$M$37,"P",Roteiro!$R$5:$R$37,"&gt;-1E+300")+COUNTIFS(Roteiro!$C$5:$C$37,$A5,Roteiro!$M$5:$M$37,"F",Roteiro!$R$5:$R$37,"&gt;-1E+300")),"")</f>
        <v/>
      </c>
      <c r="H5" s="29" t="str">
        <f aca="false">IFERROR((SUMIFS(Roteiro!$T$5:$T$37,Roteiro!$C$5:$C$37,$A5,Roteiro!$M$5:$M$37,"S")+SUMIFS(Roteiro!$T$5:$T$37,Roteiro!$C$5:$C$37,$A5,Roteiro!$M$5:$M$37,"P")+SUMIFS(Roteiro!$T$5:$T$37,Roteiro!$C$5:$C$37,$A5,Roteiro!$M$5:$M$37,"F"))/(COUNTIFS(Roteiro!$C$5:$C$37,$A5,Roteiro!$M$5:$M$37,"S",Roteiro!$T$5:$T$37,"&gt;-1E+300")+COUNTIFS(Roteiro!$C$5:$C$37,$A5,Roteiro!$M$5:$M$37,"P",Roteiro!$T$5:$T$37,"&gt;-1E+300")+COUNTIFS(Roteiro!$C$5:$C$37,$A5,Roteiro!$M$5:$M$37,"F",Roteiro!$T$5:$T$37,"&gt;-1E+300")),"")</f>
        <v/>
      </c>
      <c r="I5" s="29" t="str">
        <f aca="false">IFERROR((SUMIFS(Roteiro!$Z$5:$Z$37,Roteiro!$C$5:$C$37,$A5,Roteiro!$M$5:$M$37,"S")+SUMIFS(Roteiro!$Z$5:$Z$37,Roteiro!$C$5:$C$37,$A5,Roteiro!$M$5:$M$37,"P")+SUMIFS(Roteiro!$Z$5:$Z$37,Roteiro!$C$5:$C$37,$A5,Roteiro!$M$5:$M$37,"F"))/(COUNTIFS(Roteiro!$C$5:$C$37,$A5,Roteiro!$M$5:$M$37,"S",Roteiro!$Z$5:$Z$37,"&gt;-1E+300")+COUNTIFS(Roteiro!$C$5:$C$37,$A5,Roteiro!$M$5:$M$37,"P",Roteiro!$Z$5:$Z$37,"&gt;-1E+300")+COUNTIFS(Roteiro!$C$5:$C$37,$A5,Roteiro!$M$5:$M$37,"F",Roteiro!$Z$5:$Z$37,"&gt;-1E+300")),"")</f>
        <v/>
      </c>
      <c r="J5" s="25" t="n">
        <f aca="false">COUNTIFS(Roteiro!$C$5:$C$37,$A5,Roteiro!$U$5:$U$37,"sim")</f>
        <v>0</v>
      </c>
    </row>
    <row r="6" customFormat="false" ht="15" hidden="false" customHeight="false" outlineLevel="0" collapsed="false">
      <c r="A6" s="20" t="s">
        <v>136</v>
      </c>
      <c r="B6" s="25" t="n">
        <f aca="false">COUNTIFS(Roteiro!$C$5:$C$37,$A6,Roteiro!$M$5:$M$37,"S")+COUNTIFS(Roteiro!$C$5:$C$37,$A6,Roteiro!$M$5:$M$37,"P")+COUNTIFS(Roteiro!$C$5:$C$37,$A6,Roteiro!$M$5:$M$37,"F")</f>
        <v>0</v>
      </c>
      <c r="C6" s="25" t="n">
        <f aca="false">COUNTIFS(Roteiro!$C$5:$C$37,$A6,Roteiro!$M$5:$M$37,"S")</f>
        <v>0</v>
      </c>
      <c r="D6" s="25" t="n">
        <f aca="false">COUNTIFS(Roteiro!$C$5:$C$37,$A6,Roteiro!$M$5:$M$37,"P")</f>
        <v>0</v>
      </c>
      <c r="E6" s="25" t="n">
        <f aca="false">COUNTIFS(Roteiro!$C$5:$C$37,$A6,Roteiro!$M$5:$M$37,"F")</f>
        <v>0</v>
      </c>
      <c r="F6" s="28" t="str">
        <f aca="false">IF(B6=0,"",C6/B6)</f>
        <v/>
      </c>
      <c r="G6" s="29" t="str">
        <f aca="false">IFERROR((SUMIFS(Roteiro!$R$5:$R$37,Roteiro!$C$5:$C$37,$A6,Roteiro!$M$5:$M$37,"S")+SUMIFS(Roteiro!$R$5:$R$37,Roteiro!$C$5:$C$37,$A6,Roteiro!$M$5:$M$37,"P")+SUMIFS(Roteiro!$R$5:$R$37,Roteiro!$C$5:$C$37,$A6,Roteiro!$M$5:$M$37,"F"))/(COUNTIFS(Roteiro!$C$5:$C$37,$A6,Roteiro!$M$5:$M$37,"S",Roteiro!$R$5:$R$37,"&gt;-1E+300")+COUNTIFS(Roteiro!$C$5:$C$37,$A6,Roteiro!$M$5:$M$37,"P",Roteiro!$R$5:$R$37,"&gt;-1E+300")+COUNTIFS(Roteiro!$C$5:$C$37,$A6,Roteiro!$M$5:$M$37,"F",Roteiro!$R$5:$R$37,"&gt;-1E+300")),"")</f>
        <v/>
      </c>
      <c r="H6" s="29" t="str">
        <f aca="false">IFERROR((SUMIFS(Roteiro!$T$5:$T$37,Roteiro!$C$5:$C$37,$A6,Roteiro!$M$5:$M$37,"S")+SUMIFS(Roteiro!$T$5:$T$37,Roteiro!$C$5:$C$37,$A6,Roteiro!$M$5:$M$37,"P")+SUMIFS(Roteiro!$T$5:$T$37,Roteiro!$C$5:$C$37,$A6,Roteiro!$M$5:$M$37,"F"))/(COUNTIFS(Roteiro!$C$5:$C$37,$A6,Roteiro!$M$5:$M$37,"S",Roteiro!$T$5:$T$37,"&gt;-1E+300")+COUNTIFS(Roteiro!$C$5:$C$37,$A6,Roteiro!$M$5:$M$37,"P",Roteiro!$T$5:$T$37,"&gt;-1E+300")+COUNTIFS(Roteiro!$C$5:$C$37,$A6,Roteiro!$M$5:$M$37,"F",Roteiro!$T$5:$T$37,"&gt;-1E+300")),"")</f>
        <v/>
      </c>
      <c r="I6" s="29" t="str">
        <f aca="false">IFERROR((SUMIFS(Roteiro!$Z$5:$Z$37,Roteiro!$C$5:$C$37,$A6,Roteiro!$M$5:$M$37,"S")+SUMIFS(Roteiro!$Z$5:$Z$37,Roteiro!$C$5:$C$37,$A6,Roteiro!$M$5:$M$37,"P")+SUMIFS(Roteiro!$Z$5:$Z$37,Roteiro!$C$5:$C$37,$A6,Roteiro!$M$5:$M$37,"F"))/(COUNTIFS(Roteiro!$C$5:$C$37,$A6,Roteiro!$M$5:$M$37,"S",Roteiro!$Z$5:$Z$37,"&gt;-1E+300")+COUNTIFS(Roteiro!$C$5:$C$37,$A6,Roteiro!$M$5:$M$37,"P",Roteiro!$Z$5:$Z$37,"&gt;-1E+300")+COUNTIFS(Roteiro!$C$5:$C$37,$A6,Roteiro!$M$5:$M$37,"F",Roteiro!$Z$5:$Z$37,"&gt;-1E+300")),"")</f>
        <v/>
      </c>
      <c r="J6" s="25" t="n">
        <f aca="false">COUNTIFS(Roteiro!$C$5:$C$37,$A6,Roteiro!$U$5:$U$37,"sim")</f>
        <v>0</v>
      </c>
    </row>
    <row r="9" customFormat="false" ht="15" hidden="false" customHeight="false" outlineLevel="0" collapsed="false">
      <c r="A9" s="5" t="s">
        <v>243</v>
      </c>
    </row>
    <row r="10" customFormat="false" ht="30" hidden="false" customHeight="true" outlineLevel="0" collapsed="false">
      <c r="A10" s="9" t="s">
        <v>61</v>
      </c>
      <c r="B10" s="9" t="s">
        <v>244</v>
      </c>
      <c r="C10" s="9" t="s">
        <v>245</v>
      </c>
      <c r="D10" s="9" t="s">
        <v>246</v>
      </c>
      <c r="E10" s="9" t="s">
        <v>247</v>
      </c>
      <c r="F10" s="9" t="s">
        <v>248</v>
      </c>
      <c r="G10" s="9" t="s">
        <v>249</v>
      </c>
      <c r="H10" s="9" t="s">
        <v>250</v>
      </c>
      <c r="I10" s="9" t="s">
        <v>251</v>
      </c>
      <c r="J10" s="9" t="s">
        <v>252</v>
      </c>
      <c r="K10" s="9" t="s">
        <v>253</v>
      </c>
      <c r="L10" s="9" t="s">
        <v>254</v>
      </c>
      <c r="M10" s="9" t="s">
        <v>255</v>
      </c>
      <c r="N10" s="9" t="s">
        <v>256</v>
      </c>
    </row>
    <row r="11" customFormat="false" ht="15" hidden="false" customHeight="false" outlineLevel="0" collapsed="false">
      <c r="A11" s="20" t="str">
        <f aca="false">Roteiro!D6</f>
        <v>SOL-1</v>
      </c>
      <c r="B11" s="25" t="str">
        <f aca="false">IFERROR(INDEX(Tarefas!$B$2:$B$20,MATCH($A11,Tarefas!$A$2:$A$20,0)),"")</f>
        <v>Núcleo</v>
      </c>
      <c r="C11" s="25" t="str">
        <f aca="false">IFERROR(INDEX(Tarefas!$C$2:$C$20,MATCH($A11,Tarefas!$A$2:$A$20,0)),"")</f>
        <v>G1</v>
      </c>
      <c r="D11" s="25" t="str">
        <f aca="false">IFERROR(INDEX(Tarefas!$G$2:$G$20,MATCH($A11,Tarefas!$A$2:$A$20,0)),"")</f>
        <v>baixo</v>
      </c>
      <c r="E11" s="25" t="str">
        <f aca="false">IFERROR(IF(INDEX(Roteiro!$M$5:$M$37,MATCH($A11&amp;"|S",Roteiro!$AE$5:$AE$37,0))="","",INDEX(Roteiro!$M$5:$M$37,MATCH($A11&amp;"|S",Roteiro!$AE$5:$AE$37,0))),"")</f>
        <v/>
      </c>
      <c r="F11" s="25" t="str">
        <f aca="false">IFERROR(IF(INDEX(Roteiro!$M$5:$M$37,MATCH($A11&amp;"|C",Roteiro!$AE$5:$AE$37,0))="","",INDEX(Roteiro!$M$5:$M$37,MATCH($A11&amp;"|C",Roteiro!$AE$5:$AE$37,0))),"")</f>
        <v/>
      </c>
      <c r="G11" s="25" t="str">
        <f aca="false">IFERROR(IF(INDEX(Roteiro!$R$5:$R$37,MATCH($A11&amp;"|S",Roteiro!$AE$5:$AE$37,0))="","",INDEX(Roteiro!$R$5:$R$37,MATCH($A11&amp;"|S",Roteiro!$AE$5:$AE$37,0))),"")</f>
        <v/>
      </c>
      <c r="H11" s="25" t="str">
        <f aca="false">IFERROR(IF(INDEX(Roteiro!$R$5:$R$37,MATCH($A11&amp;"|C",Roteiro!$AE$5:$AE$37,0))="","",INDEX(Roteiro!$R$5:$R$37,MATCH($A11&amp;"|C",Roteiro!$AE$5:$AE$37,0))),"")</f>
        <v/>
      </c>
      <c r="I11" s="25" t="str">
        <f aca="false">IF(AND(ISNUMBER(G11),ISNUMBER(H11)),H11-G11,"")</f>
        <v/>
      </c>
      <c r="J11" s="25" t="str">
        <f aca="false">IFERROR(IF(INDEX(Roteiro!$T$5:$T$37,MATCH($A11&amp;"|S",Roteiro!$AE$5:$AE$37,0))="","",INDEX(Roteiro!$T$5:$T$37,MATCH($A11&amp;"|S",Roteiro!$AE$5:$AE$37,0))),"")</f>
        <v/>
      </c>
      <c r="K11" s="25" t="str">
        <f aca="false">IFERROR(IF(INDEX(Roteiro!$T$5:$T$37,MATCH($A11&amp;"|C",Roteiro!$AE$5:$AE$37,0))="","",INDEX(Roteiro!$T$5:$T$37,MATCH($A11&amp;"|C",Roteiro!$AE$5:$AE$37,0))),"")</f>
        <v/>
      </c>
      <c r="L11" s="25" t="str">
        <f aca="false">IF(AND(ISNUMBER(J11),ISNUMBER(K11)),K11-J11,"")</f>
        <v/>
      </c>
      <c r="M11" s="25" t="str">
        <f aca="false">IFERROR(IF(INDEX(Roteiro!$Z$5:$Z$37,MATCH($A11&amp;"|S",Roteiro!$AE$5:$AE$37,0))="","",INDEX(Roteiro!$Z$5:$Z$37,MATCH($A11&amp;"|S",Roteiro!$AE$5:$AE$37,0))),"")</f>
        <v/>
      </c>
      <c r="N11" s="25" t="str">
        <f aca="false">IFERROR(IF(INDEX(Roteiro!$Z$5:$Z$37,MATCH($A11&amp;"|C",Roteiro!$AE$5:$AE$37,0))="","",INDEX(Roteiro!$Z$5:$Z$37,MATCH($A11&amp;"|C",Roteiro!$AE$5:$AE$37,0))),"")</f>
        <v/>
      </c>
    </row>
    <row r="12" customFormat="false" ht="15" hidden="false" customHeight="false" outlineLevel="0" collapsed="false">
      <c r="A12" s="20" t="str">
        <f aca="false">Roteiro!D7</f>
        <v>CAPES-1</v>
      </c>
      <c r="B12" s="25" t="str">
        <f aca="false">IFERROR(INDEX(Tarefas!$B$2:$B$20,MATCH($A12,Tarefas!$A$2:$A$20,0)),"")</f>
        <v>Núcleo</v>
      </c>
      <c r="C12" s="25" t="str">
        <f aca="false">IFERROR(INDEX(Tarefas!$C$2:$C$20,MATCH($A12,Tarefas!$A$2:$A$20,0)),"")</f>
        <v>G1</v>
      </c>
      <c r="D12" s="25" t="str">
        <f aca="false">IFERROR(INDEX(Tarefas!$G$2:$G$20,MATCH($A12,Tarefas!$A$2:$A$20,0)),"")</f>
        <v>baixo</v>
      </c>
      <c r="E12" s="25" t="str">
        <f aca="false">IFERROR(IF(INDEX(Roteiro!$M$5:$M$37,MATCH($A12&amp;"|S",Roteiro!$AE$5:$AE$37,0))="","",INDEX(Roteiro!$M$5:$M$37,MATCH($A12&amp;"|S",Roteiro!$AE$5:$AE$37,0))),"")</f>
        <v/>
      </c>
      <c r="F12" s="25" t="str">
        <f aca="false">IFERROR(IF(INDEX(Roteiro!$M$5:$M$37,MATCH($A12&amp;"|C",Roteiro!$AE$5:$AE$37,0))="","",INDEX(Roteiro!$M$5:$M$37,MATCH($A12&amp;"|C",Roteiro!$AE$5:$AE$37,0))),"")</f>
        <v/>
      </c>
      <c r="G12" s="25" t="str">
        <f aca="false">IFERROR(IF(INDEX(Roteiro!$R$5:$R$37,MATCH($A12&amp;"|S",Roteiro!$AE$5:$AE$37,0))="","",INDEX(Roteiro!$R$5:$R$37,MATCH($A12&amp;"|S",Roteiro!$AE$5:$AE$37,0))),"")</f>
        <v/>
      </c>
      <c r="H12" s="25" t="str">
        <f aca="false">IFERROR(IF(INDEX(Roteiro!$R$5:$R$37,MATCH($A12&amp;"|C",Roteiro!$AE$5:$AE$37,0))="","",INDEX(Roteiro!$R$5:$R$37,MATCH($A12&amp;"|C",Roteiro!$AE$5:$AE$37,0))),"")</f>
        <v/>
      </c>
      <c r="I12" s="25" t="str">
        <f aca="false">IF(AND(ISNUMBER(G12),ISNUMBER(H12)),H12-G12,"")</f>
        <v/>
      </c>
      <c r="J12" s="25" t="str">
        <f aca="false">IFERROR(IF(INDEX(Roteiro!$T$5:$T$37,MATCH($A12&amp;"|S",Roteiro!$AE$5:$AE$37,0))="","",INDEX(Roteiro!$T$5:$T$37,MATCH($A12&amp;"|S",Roteiro!$AE$5:$AE$37,0))),"")</f>
        <v/>
      </c>
      <c r="K12" s="25" t="str">
        <f aca="false">IFERROR(IF(INDEX(Roteiro!$T$5:$T$37,MATCH($A12&amp;"|C",Roteiro!$AE$5:$AE$37,0))="","",INDEX(Roteiro!$T$5:$T$37,MATCH($A12&amp;"|C",Roteiro!$AE$5:$AE$37,0))),"")</f>
        <v/>
      </c>
      <c r="L12" s="25" t="str">
        <f aca="false">IF(AND(ISNUMBER(J12),ISNUMBER(K12)),K12-J12,"")</f>
        <v/>
      </c>
      <c r="M12" s="25" t="str">
        <f aca="false">IFERROR(IF(INDEX(Roteiro!$Z$5:$Z$37,MATCH($A12&amp;"|S",Roteiro!$AE$5:$AE$37,0))="","",INDEX(Roteiro!$Z$5:$Z$37,MATCH($A12&amp;"|S",Roteiro!$AE$5:$AE$37,0))),"")</f>
        <v/>
      </c>
      <c r="N12" s="25" t="str">
        <f aca="false">IFERROR(IF(INDEX(Roteiro!$Z$5:$Z$37,MATCH($A12&amp;"|C",Roteiro!$AE$5:$AE$37,0))="","",INDEX(Roteiro!$Z$5:$Z$37,MATCH($A12&amp;"|C",Roteiro!$AE$5:$AE$37,0))),"")</f>
        <v/>
      </c>
    </row>
    <row r="13" customFormat="false" ht="15" hidden="false" customHeight="false" outlineLevel="0" collapsed="false">
      <c r="A13" s="20" t="str">
        <f aca="false">Roteiro!D8</f>
        <v>IHC-2</v>
      </c>
      <c r="B13" s="25" t="str">
        <f aca="false">IFERROR(INDEX(Tarefas!$B$2:$B$20,MATCH($A13,Tarefas!$A$2:$A$20,0)),"")</f>
        <v>Núcleo</v>
      </c>
      <c r="C13" s="25" t="str">
        <f aca="false">IFERROR(INDEX(Tarefas!$C$2:$C$20,MATCH($A13,Tarefas!$A$2:$A$20,0)),"")</f>
        <v>G1</v>
      </c>
      <c r="D13" s="25" t="str">
        <f aca="false">IFERROR(INDEX(Tarefas!$G$2:$G$20,MATCH($A13,Tarefas!$A$2:$A$20,0)),"")</f>
        <v>controle</v>
      </c>
      <c r="E13" s="25" t="str">
        <f aca="false">IFERROR(IF(INDEX(Roteiro!$M$5:$M$37,MATCH($A13&amp;"|S",Roteiro!$AE$5:$AE$37,0))="","",INDEX(Roteiro!$M$5:$M$37,MATCH($A13&amp;"|S",Roteiro!$AE$5:$AE$37,0))),"")</f>
        <v/>
      </c>
      <c r="F13" s="25" t="str">
        <f aca="false">IFERROR(IF(INDEX(Roteiro!$M$5:$M$37,MATCH($A13&amp;"|C",Roteiro!$AE$5:$AE$37,0))="","",INDEX(Roteiro!$M$5:$M$37,MATCH($A13&amp;"|C",Roteiro!$AE$5:$AE$37,0))),"")</f>
        <v/>
      </c>
      <c r="G13" s="25" t="str">
        <f aca="false">IFERROR(IF(INDEX(Roteiro!$R$5:$R$37,MATCH($A13&amp;"|S",Roteiro!$AE$5:$AE$37,0))="","",INDEX(Roteiro!$R$5:$R$37,MATCH($A13&amp;"|S",Roteiro!$AE$5:$AE$37,0))),"")</f>
        <v/>
      </c>
      <c r="H13" s="25" t="str">
        <f aca="false">IFERROR(IF(INDEX(Roteiro!$R$5:$R$37,MATCH($A13&amp;"|C",Roteiro!$AE$5:$AE$37,0))="","",INDEX(Roteiro!$R$5:$R$37,MATCH($A13&amp;"|C",Roteiro!$AE$5:$AE$37,0))),"")</f>
        <v/>
      </c>
      <c r="I13" s="25" t="str">
        <f aca="false">IF(AND(ISNUMBER(G13),ISNUMBER(H13)),H13-G13,"")</f>
        <v/>
      </c>
      <c r="J13" s="25" t="str">
        <f aca="false">IFERROR(IF(INDEX(Roteiro!$T$5:$T$37,MATCH($A13&amp;"|S",Roteiro!$AE$5:$AE$37,0))="","",INDEX(Roteiro!$T$5:$T$37,MATCH($A13&amp;"|S",Roteiro!$AE$5:$AE$37,0))),"")</f>
        <v/>
      </c>
      <c r="K13" s="25" t="str">
        <f aca="false">IFERROR(IF(INDEX(Roteiro!$T$5:$T$37,MATCH($A13&amp;"|C",Roteiro!$AE$5:$AE$37,0))="","",INDEX(Roteiro!$T$5:$T$37,MATCH($A13&amp;"|C",Roteiro!$AE$5:$AE$37,0))),"")</f>
        <v/>
      </c>
      <c r="L13" s="25" t="str">
        <f aca="false">IF(AND(ISNUMBER(J13),ISNUMBER(K13)),K13-J13,"")</f>
        <v/>
      </c>
      <c r="M13" s="25" t="str">
        <f aca="false">IFERROR(IF(INDEX(Roteiro!$Z$5:$Z$37,MATCH($A13&amp;"|S",Roteiro!$AE$5:$AE$37,0))="","",INDEX(Roteiro!$Z$5:$Z$37,MATCH($A13&amp;"|S",Roteiro!$AE$5:$AE$37,0))),"")</f>
        <v/>
      </c>
      <c r="N13" s="25" t="str">
        <f aca="false">IFERROR(IF(INDEX(Roteiro!$Z$5:$Z$37,MATCH($A13&amp;"|C",Roteiro!$AE$5:$AE$37,0))="","",INDEX(Roteiro!$Z$5:$Z$37,MATCH($A13&amp;"|C",Roteiro!$AE$5:$AE$37,0))),"")</f>
        <v/>
      </c>
    </row>
    <row r="14" customFormat="false" ht="15" hidden="false" customHeight="false" outlineLevel="0" collapsed="false">
      <c r="A14" s="20" t="str">
        <f aca="false">Roteiro!D9</f>
        <v>CSBC-2</v>
      </c>
      <c r="B14" s="25" t="str">
        <f aca="false">IFERROR(INDEX(Tarefas!$B$2:$B$20,MATCH($A14,Tarefas!$A$2:$A$20,0)),"")</f>
        <v>Núcleo</v>
      </c>
      <c r="C14" s="25" t="str">
        <f aca="false">IFERROR(INDEX(Tarefas!$C$2:$C$20,MATCH($A14,Tarefas!$A$2:$A$20,0)),"")</f>
        <v>G1</v>
      </c>
      <c r="D14" s="25" t="str">
        <f aca="false">IFERROR(INDEX(Tarefas!$G$2:$G$20,MATCH($A14,Tarefas!$A$2:$A$20,0)),"")</f>
        <v>negativo</v>
      </c>
      <c r="E14" s="25" t="str">
        <f aca="false">IFERROR(IF(INDEX(Roteiro!$M$5:$M$37,MATCH($A14&amp;"|S",Roteiro!$AE$5:$AE$37,0))="","",INDEX(Roteiro!$M$5:$M$37,MATCH($A14&amp;"|S",Roteiro!$AE$5:$AE$37,0))),"")</f>
        <v/>
      </c>
      <c r="F14" s="25" t="str">
        <f aca="false">IFERROR(IF(INDEX(Roteiro!$M$5:$M$37,MATCH($A14&amp;"|C",Roteiro!$AE$5:$AE$37,0))="","",INDEX(Roteiro!$M$5:$M$37,MATCH($A14&amp;"|C",Roteiro!$AE$5:$AE$37,0))),"")</f>
        <v/>
      </c>
      <c r="G14" s="25" t="str">
        <f aca="false">IFERROR(IF(INDEX(Roteiro!$R$5:$R$37,MATCH($A14&amp;"|S",Roteiro!$AE$5:$AE$37,0))="","",INDEX(Roteiro!$R$5:$R$37,MATCH($A14&amp;"|S",Roteiro!$AE$5:$AE$37,0))),"")</f>
        <v/>
      </c>
      <c r="H14" s="25" t="str">
        <f aca="false">IFERROR(IF(INDEX(Roteiro!$R$5:$R$37,MATCH($A14&amp;"|C",Roteiro!$AE$5:$AE$37,0))="","",INDEX(Roteiro!$R$5:$R$37,MATCH($A14&amp;"|C",Roteiro!$AE$5:$AE$37,0))),"")</f>
        <v/>
      </c>
      <c r="I14" s="25" t="str">
        <f aca="false">IF(AND(ISNUMBER(G14),ISNUMBER(H14)),H14-G14,"")</f>
        <v/>
      </c>
      <c r="J14" s="25" t="str">
        <f aca="false">IFERROR(IF(INDEX(Roteiro!$T$5:$T$37,MATCH($A14&amp;"|S",Roteiro!$AE$5:$AE$37,0))="","",INDEX(Roteiro!$T$5:$T$37,MATCH($A14&amp;"|S",Roteiro!$AE$5:$AE$37,0))),"")</f>
        <v/>
      </c>
      <c r="K14" s="25" t="str">
        <f aca="false">IFERROR(IF(INDEX(Roteiro!$T$5:$T$37,MATCH($A14&amp;"|C",Roteiro!$AE$5:$AE$37,0))="","",INDEX(Roteiro!$T$5:$T$37,MATCH($A14&amp;"|C",Roteiro!$AE$5:$AE$37,0))),"")</f>
        <v/>
      </c>
      <c r="L14" s="25" t="str">
        <f aca="false">IF(AND(ISNUMBER(J14),ISNUMBER(K14)),K14-J14,"")</f>
        <v/>
      </c>
      <c r="M14" s="25" t="str">
        <f aca="false">IFERROR(IF(INDEX(Roteiro!$Z$5:$Z$37,MATCH($A14&amp;"|S",Roteiro!$AE$5:$AE$37,0))="","",INDEX(Roteiro!$Z$5:$Z$37,MATCH($A14&amp;"|S",Roteiro!$AE$5:$AE$37,0))),"")</f>
        <v/>
      </c>
      <c r="N14" s="25" t="str">
        <f aca="false">IFERROR(IF(INDEX(Roteiro!$Z$5:$Z$37,MATCH($A14&amp;"|C",Roteiro!$AE$5:$AE$37,0))="","",INDEX(Roteiro!$Z$5:$Z$37,MATCH($A14&amp;"|C",Roteiro!$AE$5:$AE$37,0))),"")</f>
        <v/>
      </c>
    </row>
    <row r="15" customFormat="false" ht="15" hidden="false" customHeight="false" outlineLevel="0" collapsed="false">
      <c r="A15" s="20" t="str">
        <f aca="false">Roteiro!D12</f>
        <v>SOL-2</v>
      </c>
      <c r="B15" s="25" t="str">
        <f aca="false">IFERROR(INDEX(Tarefas!$B$2:$B$20,MATCH($A15,Tarefas!$A$2:$A$20,0)),"")</f>
        <v>Núcleo</v>
      </c>
      <c r="C15" s="25" t="str">
        <f aca="false">IFERROR(INDEX(Tarefas!$C$2:$C$20,MATCH($A15,Tarefas!$A$2:$A$20,0)),"")</f>
        <v>G2</v>
      </c>
      <c r="D15" s="25" t="str">
        <f aca="false">IFERROR(INDEX(Tarefas!$G$2:$G$20,MATCH($A15,Tarefas!$A$2:$A$20,0)),"")</f>
        <v>controle</v>
      </c>
      <c r="E15" s="25" t="str">
        <f aca="false">IFERROR(IF(INDEX(Roteiro!$M$5:$M$37,MATCH($A15&amp;"|S",Roteiro!$AE$5:$AE$37,0))="","",INDEX(Roteiro!$M$5:$M$37,MATCH($A15&amp;"|S",Roteiro!$AE$5:$AE$37,0))),"")</f>
        <v/>
      </c>
      <c r="F15" s="25" t="str">
        <f aca="false">IFERROR(IF(INDEX(Roteiro!$M$5:$M$37,MATCH($A15&amp;"|C",Roteiro!$AE$5:$AE$37,0))="","",INDEX(Roteiro!$M$5:$M$37,MATCH($A15&amp;"|C",Roteiro!$AE$5:$AE$37,0))),"")</f>
        <v/>
      </c>
      <c r="G15" s="25" t="str">
        <f aca="false">IFERROR(IF(INDEX(Roteiro!$R$5:$R$37,MATCH($A15&amp;"|S",Roteiro!$AE$5:$AE$37,0))="","",INDEX(Roteiro!$R$5:$R$37,MATCH($A15&amp;"|S",Roteiro!$AE$5:$AE$37,0))),"")</f>
        <v/>
      </c>
      <c r="H15" s="25" t="str">
        <f aca="false">IFERROR(IF(INDEX(Roteiro!$R$5:$R$37,MATCH($A15&amp;"|C",Roteiro!$AE$5:$AE$37,0))="","",INDEX(Roteiro!$R$5:$R$37,MATCH($A15&amp;"|C",Roteiro!$AE$5:$AE$37,0))),"")</f>
        <v/>
      </c>
      <c r="I15" s="25" t="str">
        <f aca="false">IF(AND(ISNUMBER(G15),ISNUMBER(H15)),H15-G15,"")</f>
        <v/>
      </c>
      <c r="J15" s="25" t="str">
        <f aca="false">IFERROR(IF(INDEX(Roteiro!$T$5:$T$37,MATCH($A15&amp;"|S",Roteiro!$AE$5:$AE$37,0))="","",INDEX(Roteiro!$T$5:$T$37,MATCH($A15&amp;"|S",Roteiro!$AE$5:$AE$37,0))),"")</f>
        <v/>
      </c>
      <c r="K15" s="25" t="str">
        <f aca="false">IFERROR(IF(INDEX(Roteiro!$T$5:$T$37,MATCH($A15&amp;"|C",Roteiro!$AE$5:$AE$37,0))="","",INDEX(Roteiro!$T$5:$T$37,MATCH($A15&amp;"|C",Roteiro!$AE$5:$AE$37,0))),"")</f>
        <v/>
      </c>
      <c r="L15" s="25" t="str">
        <f aca="false">IF(AND(ISNUMBER(J15),ISNUMBER(K15)),K15-J15,"")</f>
        <v/>
      </c>
      <c r="M15" s="25" t="str">
        <f aca="false">IFERROR(IF(INDEX(Roteiro!$Z$5:$Z$37,MATCH($A15&amp;"|S",Roteiro!$AE$5:$AE$37,0))="","",INDEX(Roteiro!$Z$5:$Z$37,MATCH($A15&amp;"|S",Roteiro!$AE$5:$AE$37,0))),"")</f>
        <v/>
      </c>
      <c r="N15" s="25" t="str">
        <f aca="false">IFERROR(IF(INDEX(Roteiro!$Z$5:$Z$37,MATCH($A15&amp;"|C",Roteiro!$AE$5:$AE$37,0))="","",INDEX(Roteiro!$Z$5:$Z$37,MATCH($A15&amp;"|C",Roteiro!$AE$5:$AE$37,0))),"")</f>
        <v/>
      </c>
    </row>
    <row r="16" customFormat="false" ht="15" hidden="false" customHeight="false" outlineLevel="0" collapsed="false">
      <c r="A16" s="20" t="str">
        <f aca="false">Roteiro!D13</f>
        <v>CAPES-2</v>
      </c>
      <c r="B16" s="25" t="str">
        <f aca="false">IFERROR(INDEX(Tarefas!$B$2:$B$20,MATCH($A16,Tarefas!$A$2:$A$20,0)),"")</f>
        <v>Núcleo</v>
      </c>
      <c r="C16" s="25" t="str">
        <f aca="false">IFERROR(INDEX(Tarefas!$C$2:$C$20,MATCH($A16,Tarefas!$A$2:$A$20,0)),"")</f>
        <v>G2</v>
      </c>
      <c r="D16" s="25" t="str">
        <f aca="false">IFERROR(INDEX(Tarefas!$G$2:$G$20,MATCH($A16,Tarefas!$A$2:$A$20,0)),"")</f>
        <v>baixo</v>
      </c>
      <c r="E16" s="25" t="str">
        <f aca="false">IFERROR(IF(INDEX(Roteiro!$M$5:$M$37,MATCH($A16&amp;"|S",Roteiro!$AE$5:$AE$37,0))="","",INDEX(Roteiro!$M$5:$M$37,MATCH($A16&amp;"|S",Roteiro!$AE$5:$AE$37,0))),"")</f>
        <v/>
      </c>
      <c r="F16" s="25" t="str">
        <f aca="false">IFERROR(IF(INDEX(Roteiro!$M$5:$M$37,MATCH($A16&amp;"|C",Roteiro!$AE$5:$AE$37,0))="","",INDEX(Roteiro!$M$5:$M$37,MATCH($A16&amp;"|C",Roteiro!$AE$5:$AE$37,0))),"")</f>
        <v/>
      </c>
      <c r="G16" s="25" t="str">
        <f aca="false">IFERROR(IF(INDEX(Roteiro!$R$5:$R$37,MATCH($A16&amp;"|S",Roteiro!$AE$5:$AE$37,0))="","",INDEX(Roteiro!$R$5:$R$37,MATCH($A16&amp;"|S",Roteiro!$AE$5:$AE$37,0))),"")</f>
        <v/>
      </c>
      <c r="H16" s="25" t="str">
        <f aca="false">IFERROR(IF(INDEX(Roteiro!$R$5:$R$37,MATCH($A16&amp;"|C",Roteiro!$AE$5:$AE$37,0))="","",INDEX(Roteiro!$R$5:$R$37,MATCH($A16&amp;"|C",Roteiro!$AE$5:$AE$37,0))),"")</f>
        <v/>
      </c>
      <c r="I16" s="25" t="str">
        <f aca="false">IF(AND(ISNUMBER(G16),ISNUMBER(H16)),H16-G16,"")</f>
        <v/>
      </c>
      <c r="J16" s="25" t="str">
        <f aca="false">IFERROR(IF(INDEX(Roteiro!$T$5:$T$37,MATCH($A16&amp;"|S",Roteiro!$AE$5:$AE$37,0))="","",INDEX(Roteiro!$T$5:$T$37,MATCH($A16&amp;"|S",Roteiro!$AE$5:$AE$37,0))),"")</f>
        <v/>
      </c>
      <c r="K16" s="25" t="str">
        <f aca="false">IFERROR(IF(INDEX(Roteiro!$T$5:$T$37,MATCH($A16&amp;"|C",Roteiro!$AE$5:$AE$37,0))="","",INDEX(Roteiro!$T$5:$T$37,MATCH($A16&amp;"|C",Roteiro!$AE$5:$AE$37,0))),"")</f>
        <v/>
      </c>
      <c r="L16" s="25" t="str">
        <f aca="false">IF(AND(ISNUMBER(J16),ISNUMBER(K16)),K16-J16,"")</f>
        <v/>
      </c>
      <c r="M16" s="25" t="str">
        <f aca="false">IFERROR(IF(INDEX(Roteiro!$Z$5:$Z$37,MATCH($A16&amp;"|S",Roteiro!$AE$5:$AE$37,0))="","",INDEX(Roteiro!$Z$5:$Z$37,MATCH($A16&amp;"|S",Roteiro!$AE$5:$AE$37,0))),"")</f>
        <v/>
      </c>
      <c r="N16" s="25" t="str">
        <f aca="false">IFERROR(IF(INDEX(Roteiro!$Z$5:$Z$37,MATCH($A16&amp;"|C",Roteiro!$AE$5:$AE$37,0))="","",INDEX(Roteiro!$Z$5:$Z$37,MATCH($A16&amp;"|C",Roteiro!$AE$5:$AE$37,0))),"")</f>
        <v/>
      </c>
    </row>
    <row r="17" customFormat="false" ht="15" hidden="false" customHeight="false" outlineLevel="0" collapsed="false">
      <c r="A17" s="20" t="str">
        <f aca="false">Roteiro!D14</f>
        <v>IHC-1</v>
      </c>
      <c r="B17" s="25" t="str">
        <f aca="false">IFERROR(INDEX(Tarefas!$B$2:$B$20,MATCH($A17,Tarefas!$A$2:$A$20,0)),"")</f>
        <v>Núcleo</v>
      </c>
      <c r="C17" s="25" t="str">
        <f aca="false">IFERROR(INDEX(Tarefas!$C$2:$C$20,MATCH($A17,Tarefas!$A$2:$A$20,0)),"")</f>
        <v>G2</v>
      </c>
      <c r="D17" s="25" t="str">
        <f aca="false">IFERROR(INDEX(Tarefas!$G$2:$G$20,MATCH($A17,Tarefas!$A$2:$A$20,0)),"")</f>
        <v>baixo</v>
      </c>
      <c r="E17" s="25" t="str">
        <f aca="false">IFERROR(IF(INDEX(Roteiro!$M$5:$M$37,MATCH($A17&amp;"|S",Roteiro!$AE$5:$AE$37,0))="","",INDEX(Roteiro!$M$5:$M$37,MATCH($A17&amp;"|S",Roteiro!$AE$5:$AE$37,0))),"")</f>
        <v/>
      </c>
      <c r="F17" s="25" t="str">
        <f aca="false">IFERROR(IF(INDEX(Roteiro!$M$5:$M$37,MATCH($A17&amp;"|C",Roteiro!$AE$5:$AE$37,0))="","",INDEX(Roteiro!$M$5:$M$37,MATCH($A17&amp;"|C",Roteiro!$AE$5:$AE$37,0))),"")</f>
        <v/>
      </c>
      <c r="G17" s="25" t="str">
        <f aca="false">IFERROR(IF(INDEX(Roteiro!$R$5:$R$37,MATCH($A17&amp;"|S",Roteiro!$AE$5:$AE$37,0))="","",INDEX(Roteiro!$R$5:$R$37,MATCH($A17&amp;"|S",Roteiro!$AE$5:$AE$37,0))),"")</f>
        <v/>
      </c>
      <c r="H17" s="25" t="str">
        <f aca="false">IFERROR(IF(INDEX(Roteiro!$R$5:$R$37,MATCH($A17&amp;"|C",Roteiro!$AE$5:$AE$37,0))="","",INDEX(Roteiro!$R$5:$R$37,MATCH($A17&amp;"|C",Roteiro!$AE$5:$AE$37,0))),"")</f>
        <v/>
      </c>
      <c r="I17" s="25" t="str">
        <f aca="false">IF(AND(ISNUMBER(G17),ISNUMBER(H17)),H17-G17,"")</f>
        <v/>
      </c>
      <c r="J17" s="25" t="str">
        <f aca="false">IFERROR(IF(INDEX(Roteiro!$T$5:$T$37,MATCH($A17&amp;"|S",Roteiro!$AE$5:$AE$37,0))="","",INDEX(Roteiro!$T$5:$T$37,MATCH($A17&amp;"|S",Roteiro!$AE$5:$AE$37,0))),"")</f>
        <v/>
      </c>
      <c r="K17" s="25" t="str">
        <f aca="false">IFERROR(IF(INDEX(Roteiro!$T$5:$T$37,MATCH($A17&amp;"|C",Roteiro!$AE$5:$AE$37,0))="","",INDEX(Roteiro!$T$5:$T$37,MATCH($A17&amp;"|C",Roteiro!$AE$5:$AE$37,0))),"")</f>
        <v/>
      </c>
      <c r="L17" s="25" t="str">
        <f aca="false">IF(AND(ISNUMBER(J17),ISNUMBER(K17)),K17-J17,"")</f>
        <v/>
      </c>
      <c r="M17" s="25" t="str">
        <f aca="false">IFERROR(IF(INDEX(Roteiro!$Z$5:$Z$37,MATCH($A17&amp;"|S",Roteiro!$AE$5:$AE$37,0))="","",INDEX(Roteiro!$Z$5:$Z$37,MATCH($A17&amp;"|S",Roteiro!$AE$5:$AE$37,0))),"")</f>
        <v/>
      </c>
      <c r="N17" s="25" t="str">
        <f aca="false">IFERROR(IF(INDEX(Roteiro!$Z$5:$Z$37,MATCH($A17&amp;"|C",Roteiro!$AE$5:$AE$37,0))="","",INDEX(Roteiro!$Z$5:$Z$37,MATCH($A17&amp;"|C",Roteiro!$AE$5:$AE$37,0))),"")</f>
        <v/>
      </c>
    </row>
    <row r="18" customFormat="false" ht="15" hidden="false" customHeight="false" outlineLevel="0" collapsed="false">
      <c r="A18" s="20" t="str">
        <f aca="false">Roteiro!D15</f>
        <v>EDU-1</v>
      </c>
      <c r="B18" s="25" t="str">
        <f aca="false">IFERROR(INDEX(Tarefas!$B$2:$B$20,MATCH($A18,Tarefas!$A$2:$A$20,0)),"")</f>
        <v>Núcleo</v>
      </c>
      <c r="C18" s="25" t="str">
        <f aca="false">IFERROR(INDEX(Tarefas!$C$2:$C$20,MATCH($A18,Tarefas!$A$2:$A$20,0)),"")</f>
        <v>G2</v>
      </c>
      <c r="D18" s="25" t="str">
        <f aca="false">IFERROR(INDEX(Tarefas!$G$2:$G$20,MATCH($A18,Tarefas!$A$2:$A$20,0)),"")</f>
        <v>positivo</v>
      </c>
      <c r="E18" s="25" t="str">
        <f aca="false">IFERROR(IF(INDEX(Roteiro!$M$5:$M$37,MATCH($A18&amp;"|S",Roteiro!$AE$5:$AE$37,0))="","",INDEX(Roteiro!$M$5:$M$37,MATCH($A18&amp;"|S",Roteiro!$AE$5:$AE$37,0))),"")</f>
        <v/>
      </c>
      <c r="F18" s="25" t="str">
        <f aca="false">IFERROR(IF(INDEX(Roteiro!$M$5:$M$37,MATCH($A18&amp;"|C",Roteiro!$AE$5:$AE$37,0))="","",INDEX(Roteiro!$M$5:$M$37,MATCH($A18&amp;"|C",Roteiro!$AE$5:$AE$37,0))),"")</f>
        <v/>
      </c>
      <c r="G18" s="25" t="str">
        <f aca="false">IFERROR(IF(INDEX(Roteiro!$R$5:$R$37,MATCH($A18&amp;"|S",Roteiro!$AE$5:$AE$37,0))="","",INDEX(Roteiro!$R$5:$R$37,MATCH($A18&amp;"|S",Roteiro!$AE$5:$AE$37,0))),"")</f>
        <v/>
      </c>
      <c r="H18" s="25" t="str">
        <f aca="false">IFERROR(IF(INDEX(Roteiro!$R$5:$R$37,MATCH($A18&amp;"|C",Roteiro!$AE$5:$AE$37,0))="","",INDEX(Roteiro!$R$5:$R$37,MATCH($A18&amp;"|C",Roteiro!$AE$5:$AE$37,0))),"")</f>
        <v/>
      </c>
      <c r="I18" s="25" t="str">
        <f aca="false">IF(AND(ISNUMBER(G18),ISNUMBER(H18)),H18-G18,"")</f>
        <v/>
      </c>
      <c r="J18" s="25" t="str">
        <f aca="false">IFERROR(IF(INDEX(Roteiro!$T$5:$T$37,MATCH($A18&amp;"|S",Roteiro!$AE$5:$AE$37,0))="","",INDEX(Roteiro!$T$5:$T$37,MATCH($A18&amp;"|S",Roteiro!$AE$5:$AE$37,0))),"")</f>
        <v/>
      </c>
      <c r="K18" s="25" t="str">
        <f aca="false">IFERROR(IF(INDEX(Roteiro!$T$5:$T$37,MATCH($A18&amp;"|C",Roteiro!$AE$5:$AE$37,0))="","",INDEX(Roteiro!$T$5:$T$37,MATCH($A18&amp;"|C",Roteiro!$AE$5:$AE$37,0))),"")</f>
        <v/>
      </c>
      <c r="L18" s="25" t="str">
        <f aca="false">IF(AND(ISNUMBER(J18),ISNUMBER(K18)),K18-J18,"")</f>
        <v/>
      </c>
      <c r="M18" s="25" t="str">
        <f aca="false">IFERROR(IF(INDEX(Roteiro!$Z$5:$Z$37,MATCH($A18&amp;"|S",Roteiro!$AE$5:$AE$37,0))="","",INDEX(Roteiro!$Z$5:$Z$37,MATCH($A18&amp;"|S",Roteiro!$AE$5:$AE$37,0))),"")</f>
        <v/>
      </c>
      <c r="N18" s="25" t="str">
        <f aca="false">IFERROR(IF(INDEX(Roteiro!$Z$5:$Z$37,MATCH($A18&amp;"|C",Roteiro!$AE$5:$AE$37,0))="","",INDEX(Roteiro!$Z$5:$Z$37,MATCH($A18&amp;"|C",Roteiro!$AE$5:$AE$37,0))),"")</f>
        <v/>
      </c>
    </row>
    <row r="19" customFormat="false" ht="15" hidden="false" customHeight="false" outlineLevel="0" collapsed="false">
      <c r="A19" s="20" t="str">
        <f aca="false">Roteiro!D27</f>
        <v>JIS-1</v>
      </c>
      <c r="B19" s="25" t="str">
        <f aca="false">IFERROR(INDEX(Tarefas!$B$2:$B$20,MATCH($A19,Tarefas!$A$2:$A$20,0)),"")</f>
        <v>Complementar</v>
      </c>
      <c r="C19" s="25" t="str">
        <f aca="false">IFERROR(INDEX(Tarefas!$C$2:$C$20,MATCH($A19,Tarefas!$A$2:$A$20,0)),"")</f>
        <v>G1</v>
      </c>
      <c r="D19" s="25" t="str">
        <f aca="false">IFERROR(INDEX(Tarefas!$G$2:$G$20,MATCH($A19,Tarefas!$A$2:$A$20,0)),"")</f>
        <v>controle</v>
      </c>
      <c r="E19" s="25" t="str">
        <f aca="false">IFERROR(IF(INDEX(Roteiro!$M$5:$M$37,MATCH($A19&amp;"|S",Roteiro!$AE$5:$AE$37,0))="","",INDEX(Roteiro!$M$5:$M$37,MATCH($A19&amp;"|S",Roteiro!$AE$5:$AE$37,0))),"")</f>
        <v/>
      </c>
      <c r="F19" s="25" t="str">
        <f aca="false">IFERROR(IF(INDEX(Roteiro!$M$5:$M$37,MATCH($A19&amp;"|C",Roteiro!$AE$5:$AE$37,0))="","",INDEX(Roteiro!$M$5:$M$37,MATCH($A19&amp;"|C",Roteiro!$AE$5:$AE$37,0))),"")</f>
        <v/>
      </c>
      <c r="G19" s="25" t="str">
        <f aca="false">IFERROR(IF(INDEX(Roteiro!$R$5:$R$37,MATCH($A19&amp;"|S",Roteiro!$AE$5:$AE$37,0))="","",INDEX(Roteiro!$R$5:$R$37,MATCH($A19&amp;"|S",Roteiro!$AE$5:$AE$37,0))),"")</f>
        <v/>
      </c>
      <c r="H19" s="25" t="str">
        <f aca="false">IFERROR(IF(INDEX(Roteiro!$R$5:$R$37,MATCH($A19&amp;"|C",Roteiro!$AE$5:$AE$37,0))="","",INDEX(Roteiro!$R$5:$R$37,MATCH($A19&amp;"|C",Roteiro!$AE$5:$AE$37,0))),"")</f>
        <v/>
      </c>
      <c r="I19" s="25" t="str">
        <f aca="false">IF(AND(ISNUMBER(G19),ISNUMBER(H19)),H19-G19,"")</f>
        <v/>
      </c>
      <c r="J19" s="25" t="str">
        <f aca="false">IFERROR(IF(INDEX(Roteiro!$T$5:$T$37,MATCH($A19&amp;"|S",Roteiro!$AE$5:$AE$37,0))="","",INDEX(Roteiro!$T$5:$T$37,MATCH($A19&amp;"|S",Roteiro!$AE$5:$AE$37,0))),"")</f>
        <v/>
      </c>
      <c r="K19" s="25" t="str">
        <f aca="false">IFERROR(IF(INDEX(Roteiro!$T$5:$T$37,MATCH($A19&amp;"|C",Roteiro!$AE$5:$AE$37,0))="","",INDEX(Roteiro!$T$5:$T$37,MATCH($A19&amp;"|C",Roteiro!$AE$5:$AE$37,0))),"")</f>
        <v/>
      </c>
      <c r="L19" s="25" t="str">
        <f aca="false">IF(AND(ISNUMBER(J19),ISNUMBER(K19)),K19-J19,"")</f>
        <v/>
      </c>
      <c r="M19" s="25" t="str">
        <f aca="false">IFERROR(IF(INDEX(Roteiro!$Z$5:$Z$37,MATCH($A19&amp;"|S",Roteiro!$AE$5:$AE$37,0))="","",INDEX(Roteiro!$Z$5:$Z$37,MATCH($A19&amp;"|S",Roteiro!$AE$5:$AE$37,0))),"")</f>
        <v/>
      </c>
      <c r="N19" s="25" t="str">
        <f aca="false">IFERROR(IF(INDEX(Roteiro!$Z$5:$Z$37,MATCH($A19&amp;"|C",Roteiro!$AE$5:$AE$37,0))="","",INDEX(Roteiro!$Z$5:$Z$37,MATCH($A19&amp;"|C",Roteiro!$AE$5:$AE$37,0))),"")</f>
        <v/>
      </c>
    </row>
    <row r="20" customFormat="false" ht="15" hidden="false" customHeight="false" outlineLevel="0" collapsed="false">
      <c r="A20" s="20" t="str">
        <f aca="false">Roteiro!D28</f>
        <v>EDU-3</v>
      </c>
      <c r="B20" s="25" t="str">
        <f aca="false">IFERROR(INDEX(Tarefas!$B$2:$B$20,MATCH($A20,Tarefas!$A$2:$A$20,0)),"")</f>
        <v>Complementar</v>
      </c>
      <c r="C20" s="25" t="str">
        <f aca="false">IFERROR(INDEX(Tarefas!$C$2:$C$20,MATCH($A20,Tarefas!$A$2:$A$20,0)),"")</f>
        <v>G1</v>
      </c>
      <c r="D20" s="25" t="str">
        <f aca="false">IFERROR(INDEX(Tarefas!$G$2:$G$20,MATCH($A20,Tarefas!$A$2:$A$20,0)),"")</f>
        <v>positivo</v>
      </c>
      <c r="E20" s="25" t="str">
        <f aca="false">IFERROR(IF(INDEX(Roteiro!$M$5:$M$37,MATCH($A20&amp;"|S",Roteiro!$AE$5:$AE$37,0))="","",INDEX(Roteiro!$M$5:$M$37,MATCH($A20&amp;"|S",Roteiro!$AE$5:$AE$37,0))),"")</f>
        <v/>
      </c>
      <c r="F20" s="25" t="str">
        <f aca="false">IFERROR(IF(INDEX(Roteiro!$M$5:$M$37,MATCH($A20&amp;"|C",Roteiro!$AE$5:$AE$37,0))="","",INDEX(Roteiro!$M$5:$M$37,MATCH($A20&amp;"|C",Roteiro!$AE$5:$AE$37,0))),"")</f>
        <v/>
      </c>
      <c r="G20" s="25" t="str">
        <f aca="false">IFERROR(IF(INDEX(Roteiro!$R$5:$R$37,MATCH($A20&amp;"|S",Roteiro!$AE$5:$AE$37,0))="","",INDEX(Roteiro!$R$5:$R$37,MATCH($A20&amp;"|S",Roteiro!$AE$5:$AE$37,0))),"")</f>
        <v/>
      </c>
      <c r="H20" s="25" t="str">
        <f aca="false">IFERROR(IF(INDEX(Roteiro!$R$5:$R$37,MATCH($A20&amp;"|C",Roteiro!$AE$5:$AE$37,0))="","",INDEX(Roteiro!$R$5:$R$37,MATCH($A20&amp;"|C",Roteiro!$AE$5:$AE$37,0))),"")</f>
        <v/>
      </c>
      <c r="I20" s="25" t="str">
        <f aca="false">IF(AND(ISNUMBER(G20),ISNUMBER(H20)),H20-G20,"")</f>
        <v/>
      </c>
      <c r="J20" s="25" t="str">
        <f aca="false">IFERROR(IF(INDEX(Roteiro!$T$5:$T$37,MATCH($A20&amp;"|S",Roteiro!$AE$5:$AE$37,0))="","",INDEX(Roteiro!$T$5:$T$37,MATCH($A20&amp;"|S",Roteiro!$AE$5:$AE$37,0))),"")</f>
        <v/>
      </c>
      <c r="K20" s="25" t="str">
        <f aca="false">IFERROR(IF(INDEX(Roteiro!$T$5:$T$37,MATCH($A20&amp;"|C",Roteiro!$AE$5:$AE$37,0))="","",INDEX(Roteiro!$T$5:$T$37,MATCH($A20&amp;"|C",Roteiro!$AE$5:$AE$37,0))),"")</f>
        <v/>
      </c>
      <c r="L20" s="25" t="str">
        <f aca="false">IF(AND(ISNUMBER(J20),ISNUMBER(K20)),K20-J20,"")</f>
        <v/>
      </c>
      <c r="M20" s="25" t="str">
        <f aca="false">IFERROR(IF(INDEX(Roteiro!$Z$5:$Z$37,MATCH($A20&amp;"|S",Roteiro!$AE$5:$AE$37,0))="","",INDEX(Roteiro!$Z$5:$Z$37,MATCH($A20&amp;"|S",Roteiro!$AE$5:$AE$37,0))),"")</f>
        <v/>
      </c>
      <c r="N20" s="25" t="str">
        <f aca="false">IFERROR(IF(INDEX(Roteiro!$Z$5:$Z$37,MATCH($A20&amp;"|C",Roteiro!$AE$5:$AE$37,0))="","",INDEX(Roteiro!$Z$5:$Z$37,MATCH($A20&amp;"|C",Roteiro!$AE$5:$AE$37,0))),"")</f>
        <v/>
      </c>
    </row>
    <row r="21" customFormat="false" ht="15" hidden="false" customHeight="false" outlineLevel="0" collapsed="false">
      <c r="A21" s="20" t="str">
        <f aca="false">Roteiro!D30</f>
        <v>SBC-1</v>
      </c>
      <c r="B21" s="25" t="str">
        <f aca="false">IFERROR(INDEX(Tarefas!$B$2:$B$20,MATCH($A21,Tarefas!$A$2:$A$20,0)),"")</f>
        <v>Complementar</v>
      </c>
      <c r="C21" s="25" t="str">
        <f aca="false">IFERROR(INDEX(Tarefas!$C$2:$C$20,MATCH($A21,Tarefas!$A$2:$A$20,0)),"")</f>
        <v>G2</v>
      </c>
      <c r="D21" s="25" t="str">
        <f aca="false">IFERROR(INDEX(Tarefas!$G$2:$G$20,MATCH($A21,Tarefas!$A$2:$A$20,0)),"")</f>
        <v>positivo</v>
      </c>
      <c r="E21" s="25" t="str">
        <f aca="false">IFERROR(IF(INDEX(Roteiro!$M$5:$M$37,MATCH($A21&amp;"|S",Roteiro!$AE$5:$AE$37,0))="","",INDEX(Roteiro!$M$5:$M$37,MATCH($A21&amp;"|S",Roteiro!$AE$5:$AE$37,0))),"")</f>
        <v/>
      </c>
      <c r="F21" s="25" t="str">
        <f aca="false">IFERROR(IF(INDEX(Roteiro!$M$5:$M$37,MATCH($A21&amp;"|C",Roteiro!$AE$5:$AE$37,0))="","",INDEX(Roteiro!$M$5:$M$37,MATCH($A21&amp;"|C",Roteiro!$AE$5:$AE$37,0))),"")</f>
        <v/>
      </c>
      <c r="G21" s="25" t="str">
        <f aca="false">IFERROR(IF(INDEX(Roteiro!$R$5:$R$37,MATCH($A21&amp;"|S",Roteiro!$AE$5:$AE$37,0))="","",INDEX(Roteiro!$R$5:$R$37,MATCH($A21&amp;"|S",Roteiro!$AE$5:$AE$37,0))),"")</f>
        <v/>
      </c>
      <c r="H21" s="25" t="str">
        <f aca="false">IFERROR(IF(INDEX(Roteiro!$R$5:$R$37,MATCH($A21&amp;"|C",Roteiro!$AE$5:$AE$37,0))="","",INDEX(Roteiro!$R$5:$R$37,MATCH($A21&amp;"|C",Roteiro!$AE$5:$AE$37,0))),"")</f>
        <v/>
      </c>
      <c r="I21" s="25" t="str">
        <f aca="false">IF(AND(ISNUMBER(G21),ISNUMBER(H21)),H21-G21,"")</f>
        <v/>
      </c>
      <c r="J21" s="25" t="str">
        <f aca="false">IFERROR(IF(INDEX(Roteiro!$T$5:$T$37,MATCH($A21&amp;"|S",Roteiro!$AE$5:$AE$37,0))="","",INDEX(Roteiro!$T$5:$T$37,MATCH($A21&amp;"|S",Roteiro!$AE$5:$AE$37,0))),"")</f>
        <v/>
      </c>
      <c r="K21" s="25" t="str">
        <f aca="false">IFERROR(IF(INDEX(Roteiro!$T$5:$T$37,MATCH($A21&amp;"|C",Roteiro!$AE$5:$AE$37,0))="","",INDEX(Roteiro!$T$5:$T$37,MATCH($A21&amp;"|C",Roteiro!$AE$5:$AE$37,0))),"")</f>
        <v/>
      </c>
      <c r="L21" s="25" t="str">
        <f aca="false">IF(AND(ISNUMBER(J21),ISNUMBER(K21)),K21-J21,"")</f>
        <v/>
      </c>
      <c r="M21" s="25" t="str">
        <f aca="false">IFERROR(IF(INDEX(Roteiro!$Z$5:$Z$37,MATCH($A21&amp;"|S",Roteiro!$AE$5:$AE$37,0))="","",INDEX(Roteiro!$Z$5:$Z$37,MATCH($A21&amp;"|S",Roteiro!$AE$5:$AE$37,0))),"")</f>
        <v/>
      </c>
      <c r="N21" s="25" t="str">
        <f aca="false">IFERROR(IF(INDEX(Roteiro!$Z$5:$Z$37,MATCH($A21&amp;"|C",Roteiro!$AE$5:$AE$37,0))="","",INDEX(Roteiro!$Z$5:$Z$37,MATCH($A21&amp;"|C",Roteiro!$AE$5:$AE$37,0))),"")</f>
        <v/>
      </c>
    </row>
    <row r="22" customFormat="false" ht="15" hidden="false" customHeight="false" outlineLevel="0" collapsed="false">
      <c r="A22" s="20" t="str">
        <f aca="false">Roteiro!D31</f>
        <v>SBC-2</v>
      </c>
      <c r="B22" s="25" t="str">
        <f aca="false">IFERROR(INDEX(Tarefas!$B$2:$B$20,MATCH($A22,Tarefas!$A$2:$A$20,0)),"")</f>
        <v>Complementar</v>
      </c>
      <c r="C22" s="25" t="str">
        <f aca="false">IFERROR(INDEX(Tarefas!$C$2:$C$20,MATCH($A22,Tarefas!$A$2:$A$20,0)),"")</f>
        <v>G2</v>
      </c>
      <c r="D22" s="25" t="str">
        <f aca="false">IFERROR(INDEX(Tarefas!$G$2:$G$20,MATCH($A22,Tarefas!$A$2:$A$20,0)),"")</f>
        <v>positivo</v>
      </c>
      <c r="E22" s="25" t="str">
        <f aca="false">IFERROR(IF(INDEX(Roteiro!$M$5:$M$37,MATCH($A22&amp;"|S",Roteiro!$AE$5:$AE$37,0))="","",INDEX(Roteiro!$M$5:$M$37,MATCH($A22&amp;"|S",Roteiro!$AE$5:$AE$37,0))),"")</f>
        <v/>
      </c>
      <c r="F22" s="25" t="str">
        <f aca="false">IFERROR(IF(INDEX(Roteiro!$M$5:$M$37,MATCH($A22&amp;"|C",Roteiro!$AE$5:$AE$37,0))="","",INDEX(Roteiro!$M$5:$M$37,MATCH($A22&amp;"|C",Roteiro!$AE$5:$AE$37,0))),"")</f>
        <v/>
      </c>
      <c r="G22" s="25" t="str">
        <f aca="false">IFERROR(IF(INDEX(Roteiro!$R$5:$R$37,MATCH($A22&amp;"|S",Roteiro!$AE$5:$AE$37,0))="","",INDEX(Roteiro!$R$5:$R$37,MATCH($A22&amp;"|S",Roteiro!$AE$5:$AE$37,0))),"")</f>
        <v/>
      </c>
      <c r="H22" s="25" t="str">
        <f aca="false">IFERROR(IF(INDEX(Roteiro!$R$5:$R$37,MATCH($A22&amp;"|C",Roteiro!$AE$5:$AE$37,0))="","",INDEX(Roteiro!$R$5:$R$37,MATCH($A22&amp;"|C",Roteiro!$AE$5:$AE$37,0))),"")</f>
        <v/>
      </c>
      <c r="I22" s="25" t="str">
        <f aca="false">IF(AND(ISNUMBER(G22),ISNUMBER(H22)),H22-G22,"")</f>
        <v/>
      </c>
      <c r="J22" s="25" t="str">
        <f aca="false">IFERROR(IF(INDEX(Roteiro!$T$5:$T$37,MATCH($A22&amp;"|S",Roteiro!$AE$5:$AE$37,0))="","",INDEX(Roteiro!$T$5:$T$37,MATCH($A22&amp;"|S",Roteiro!$AE$5:$AE$37,0))),"")</f>
        <v/>
      </c>
      <c r="K22" s="25" t="str">
        <f aca="false">IFERROR(IF(INDEX(Roteiro!$T$5:$T$37,MATCH($A22&amp;"|C",Roteiro!$AE$5:$AE$37,0))="","",INDEX(Roteiro!$T$5:$T$37,MATCH($A22&amp;"|C",Roteiro!$AE$5:$AE$37,0))),"")</f>
        <v/>
      </c>
      <c r="L22" s="25" t="str">
        <f aca="false">IF(AND(ISNUMBER(J22),ISNUMBER(K22)),K22-J22,"")</f>
        <v/>
      </c>
      <c r="M22" s="25" t="str">
        <f aca="false">IFERROR(IF(INDEX(Roteiro!$Z$5:$Z$37,MATCH($A22&amp;"|S",Roteiro!$AE$5:$AE$37,0))="","",INDEX(Roteiro!$Z$5:$Z$37,MATCH($A22&amp;"|S",Roteiro!$AE$5:$AE$37,0))),"")</f>
        <v/>
      </c>
      <c r="N22" s="25" t="str">
        <f aca="false">IFERROR(IF(INDEX(Roteiro!$Z$5:$Z$37,MATCH($A22&amp;"|C",Roteiro!$AE$5:$AE$37,0))="","",INDEX(Roteiro!$Z$5:$Z$37,MATCH($A22&amp;"|C",Roteiro!$AE$5:$AE$37,0))),"")</f>
        <v/>
      </c>
    </row>
    <row r="24" customFormat="false" ht="15" hidden="false" customHeight="false" outlineLevel="0" collapsed="false">
      <c r="A24" s="5" t="s">
        <v>257</v>
      </c>
      <c r="L24" s="30" t="str">
        <f aca="false">IF(AND(ISNUMBER(L13),ISNUMBER(L15)),(L15-L13)/2,"")</f>
        <v/>
      </c>
    </row>
    <row r="25" customFormat="false" ht="15" hidden="false" customHeight="false" outlineLevel="0" collapsed="false">
      <c r="A25" s="31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11"/>
    <col collapsed="false" customWidth="true" hidden="false" outlineLevel="0" max="8" min="8" style="0" width="50"/>
    <col collapsed="false" customWidth="true" hidden="false" outlineLevel="0" max="11" min="9" style="0" width="9"/>
    <col collapsed="false" customWidth="true" hidden="false" outlineLevel="0" max="12" min="12" style="0" width="45"/>
    <col collapsed="false" customWidth="true" hidden="false" outlineLevel="0" max="13" min="13" style="0" width="26"/>
    <col collapsed="false" customWidth="true" hidden="false" outlineLevel="0" max="14" min="14" style="0" width="40"/>
    <col collapsed="false" customWidth="true" hidden="false" outlineLevel="0" max="15" min="15" style="0" width="45"/>
    <col collapsed="false" customWidth="true" hidden="false" outlineLevel="0" max="16" min="16" style="0" width="26"/>
    <col collapsed="false" customWidth="true" hidden="false" outlineLevel="0" max="18" min="17" style="0" width="40"/>
    <col collapsed="false" customWidth="true" hidden="false" outlineLevel="0" max="19" min="19" style="0" width="45"/>
  </cols>
  <sheetData>
    <row r="1" customFormat="false" ht="23.85" hidden="false" customHeight="false" outlineLevel="0" collapsed="false">
      <c r="A1" s="9" t="s">
        <v>259</v>
      </c>
      <c r="B1" s="9" t="s">
        <v>244</v>
      </c>
      <c r="C1" s="9" t="s">
        <v>245</v>
      </c>
      <c r="D1" s="9" t="s">
        <v>63</v>
      </c>
      <c r="E1" s="9" t="s">
        <v>64</v>
      </c>
      <c r="F1" s="9" t="s">
        <v>260</v>
      </c>
      <c r="G1" s="9" t="s">
        <v>246</v>
      </c>
      <c r="H1" s="9" t="s">
        <v>261</v>
      </c>
      <c r="I1" s="9" t="s">
        <v>262</v>
      </c>
      <c r="J1" s="9" t="s">
        <v>263</v>
      </c>
      <c r="K1" s="9" t="s">
        <v>264</v>
      </c>
      <c r="L1" s="9" t="s">
        <v>265</v>
      </c>
      <c r="M1" s="9" t="s">
        <v>266</v>
      </c>
      <c r="N1" s="9" t="s">
        <v>267</v>
      </c>
      <c r="O1" s="9" t="s">
        <v>268</v>
      </c>
      <c r="P1" s="9" t="s">
        <v>269</v>
      </c>
      <c r="Q1" s="9" t="s">
        <v>270</v>
      </c>
      <c r="R1" s="9" t="s">
        <v>271</v>
      </c>
      <c r="S1" s="9" t="s">
        <v>272</v>
      </c>
    </row>
    <row r="2" customFormat="false" ht="79.85" hidden="false" customHeight="false" outlineLevel="0" collapsed="false">
      <c r="A2" s="21" t="s">
        <v>108</v>
      </c>
      <c r="B2" s="21" t="s">
        <v>273</v>
      </c>
      <c r="C2" s="21" t="s">
        <v>274</v>
      </c>
      <c r="D2" s="21" t="s">
        <v>109</v>
      </c>
      <c r="E2" s="21" t="s">
        <v>110</v>
      </c>
      <c r="F2" s="21" t="s">
        <v>275</v>
      </c>
      <c r="G2" s="21" t="s">
        <v>276</v>
      </c>
      <c r="H2" s="21" t="s">
        <v>277</v>
      </c>
      <c r="I2" s="21" t="n">
        <v>2</v>
      </c>
      <c r="J2" s="21" t="n">
        <v>105</v>
      </c>
      <c r="K2" s="21" t="n">
        <v>145</v>
      </c>
      <c r="L2" s="21" t="s">
        <v>111</v>
      </c>
      <c r="M2" s="21" t="s">
        <v>112</v>
      </c>
      <c r="N2" s="21" t="s">
        <v>113</v>
      </c>
      <c r="O2" s="21" t="s">
        <v>164</v>
      </c>
      <c r="P2" s="21" t="s">
        <v>165</v>
      </c>
      <c r="Q2" s="21" t="s">
        <v>166</v>
      </c>
      <c r="R2" s="21" t="s">
        <v>278</v>
      </c>
      <c r="S2" s="21" t="s">
        <v>279</v>
      </c>
    </row>
    <row r="3" customFormat="false" ht="46.25" hidden="false" customHeight="false" outlineLevel="0" collapsed="false">
      <c r="A3" s="21" t="s">
        <v>137</v>
      </c>
      <c r="B3" s="21" t="s">
        <v>273</v>
      </c>
      <c r="C3" s="21" t="s">
        <v>280</v>
      </c>
      <c r="D3" s="21" t="s">
        <v>138</v>
      </c>
      <c r="E3" s="21" t="s">
        <v>139</v>
      </c>
      <c r="F3" s="21" t="s">
        <v>281</v>
      </c>
      <c r="G3" s="21" t="s">
        <v>282</v>
      </c>
      <c r="H3" s="21" t="s">
        <v>283</v>
      </c>
      <c r="I3" s="21" t="n">
        <v>1</v>
      </c>
      <c r="J3" s="21" t="n">
        <v>45</v>
      </c>
      <c r="K3" s="21" t="n">
        <v>65</v>
      </c>
      <c r="L3" s="21" t="s">
        <v>140</v>
      </c>
      <c r="M3" s="21" t="s">
        <v>141</v>
      </c>
      <c r="N3" s="21" t="s">
        <v>142</v>
      </c>
      <c r="O3" s="21" t="s">
        <v>178</v>
      </c>
      <c r="P3" s="21" t="s">
        <v>179</v>
      </c>
      <c r="Q3" s="21" t="s">
        <v>180</v>
      </c>
      <c r="R3" s="21" t="s">
        <v>284</v>
      </c>
      <c r="S3" s="21" t="s">
        <v>285</v>
      </c>
    </row>
    <row r="4" customFormat="false" ht="68.65" hidden="false" customHeight="false" outlineLevel="0" collapsed="false">
      <c r="A4" s="21" t="s">
        <v>114</v>
      </c>
      <c r="B4" s="21" t="s">
        <v>273</v>
      </c>
      <c r="C4" s="21" t="s">
        <v>274</v>
      </c>
      <c r="D4" s="21" t="s">
        <v>115</v>
      </c>
      <c r="E4" s="21" t="s">
        <v>116</v>
      </c>
      <c r="F4" s="21" t="s">
        <v>286</v>
      </c>
      <c r="G4" s="21" t="s">
        <v>276</v>
      </c>
      <c r="H4" s="21" t="s">
        <v>287</v>
      </c>
      <c r="I4" s="21" t="n">
        <v>3</v>
      </c>
      <c r="J4" s="21" t="n">
        <v>90</v>
      </c>
      <c r="K4" s="21" t="n">
        <v>150</v>
      </c>
      <c r="L4" s="21" t="s">
        <v>117</v>
      </c>
      <c r="M4" s="21" t="s">
        <v>118</v>
      </c>
      <c r="N4" s="21" t="s">
        <v>119</v>
      </c>
      <c r="O4" s="21" t="s">
        <v>167</v>
      </c>
      <c r="P4" s="21" t="s">
        <v>168</v>
      </c>
      <c r="Q4" s="21" t="s">
        <v>169</v>
      </c>
      <c r="R4" s="21" t="s">
        <v>288</v>
      </c>
      <c r="S4" s="21" t="s">
        <v>289</v>
      </c>
    </row>
    <row r="5" customFormat="false" ht="79.85" hidden="false" customHeight="false" outlineLevel="0" collapsed="false">
      <c r="A5" s="21" t="s">
        <v>143</v>
      </c>
      <c r="B5" s="21" t="s">
        <v>273</v>
      </c>
      <c r="C5" s="21" t="s">
        <v>280</v>
      </c>
      <c r="D5" s="21" t="s">
        <v>144</v>
      </c>
      <c r="E5" s="21" t="s">
        <v>145</v>
      </c>
      <c r="F5" s="21" t="s">
        <v>290</v>
      </c>
      <c r="G5" s="21" t="s">
        <v>276</v>
      </c>
      <c r="H5" s="21" t="s">
        <v>291</v>
      </c>
      <c r="I5" s="21" t="n">
        <v>1</v>
      </c>
      <c r="J5" s="21" t="n">
        <v>110</v>
      </c>
      <c r="K5" s="21" t="n">
        <v>130</v>
      </c>
      <c r="L5" s="21" t="s">
        <v>146</v>
      </c>
      <c r="M5" s="21" t="s">
        <v>147</v>
      </c>
      <c r="N5" s="21" t="s">
        <v>148</v>
      </c>
      <c r="O5" s="21" t="s">
        <v>181</v>
      </c>
      <c r="P5" s="21" t="s">
        <v>182</v>
      </c>
      <c r="Q5" s="21" t="s">
        <v>183</v>
      </c>
      <c r="R5" s="21" t="s">
        <v>292</v>
      </c>
      <c r="S5" s="21" t="s">
        <v>293</v>
      </c>
    </row>
    <row r="6" customFormat="false" ht="57.45" hidden="false" customHeight="false" outlineLevel="0" collapsed="false">
      <c r="A6" s="21" t="s">
        <v>149</v>
      </c>
      <c r="B6" s="21" t="s">
        <v>273</v>
      </c>
      <c r="C6" s="21" t="s">
        <v>280</v>
      </c>
      <c r="D6" s="21" t="s">
        <v>150</v>
      </c>
      <c r="E6" s="21" t="s">
        <v>151</v>
      </c>
      <c r="F6" s="21" t="s">
        <v>294</v>
      </c>
      <c r="G6" s="21" t="s">
        <v>276</v>
      </c>
      <c r="H6" s="21" t="s">
        <v>295</v>
      </c>
      <c r="I6" s="21" t="n">
        <v>3</v>
      </c>
      <c r="J6" s="21" t="n">
        <v>105</v>
      </c>
      <c r="K6" s="21" t="n">
        <v>165</v>
      </c>
      <c r="L6" s="21" t="s">
        <v>152</v>
      </c>
      <c r="M6" s="21" t="s">
        <v>153</v>
      </c>
      <c r="N6" s="21" t="s">
        <v>154</v>
      </c>
      <c r="O6" s="21" t="s">
        <v>184</v>
      </c>
      <c r="P6" s="21" t="s">
        <v>185</v>
      </c>
      <c r="Q6" s="21" t="s">
        <v>186</v>
      </c>
      <c r="R6" s="21" t="s">
        <v>296</v>
      </c>
      <c r="S6" s="21" t="s">
        <v>297</v>
      </c>
    </row>
    <row r="7" customFormat="false" ht="46.25" hidden="false" customHeight="false" outlineLevel="0" collapsed="false">
      <c r="A7" s="21" t="s">
        <v>90</v>
      </c>
      <c r="B7" s="21" t="s">
        <v>273</v>
      </c>
      <c r="C7" s="21" t="s">
        <v>274</v>
      </c>
      <c r="D7" s="21" t="s">
        <v>92</v>
      </c>
      <c r="E7" s="21" t="s">
        <v>93</v>
      </c>
      <c r="F7" s="21" t="s">
        <v>298</v>
      </c>
      <c r="G7" s="21" t="s">
        <v>282</v>
      </c>
      <c r="H7" s="21" t="s">
        <v>299</v>
      </c>
      <c r="I7" s="21" t="n">
        <v>1</v>
      </c>
      <c r="J7" s="21" t="n">
        <v>70</v>
      </c>
      <c r="K7" s="21" t="n">
        <v>90</v>
      </c>
      <c r="L7" s="21" t="s">
        <v>94</v>
      </c>
      <c r="M7" s="21" t="s">
        <v>95</v>
      </c>
      <c r="N7" s="21" t="s">
        <v>96</v>
      </c>
      <c r="O7" s="21" t="s">
        <v>170</v>
      </c>
      <c r="P7" s="21" t="s">
        <v>171</v>
      </c>
      <c r="Q7" s="21" t="s">
        <v>172</v>
      </c>
      <c r="R7" s="21" t="s">
        <v>300</v>
      </c>
      <c r="S7" s="21" t="s">
        <v>301</v>
      </c>
    </row>
    <row r="8" customFormat="false" ht="79.85" hidden="false" customHeight="false" outlineLevel="0" collapsed="false">
      <c r="A8" s="21" t="s">
        <v>120</v>
      </c>
      <c r="B8" s="21" t="s">
        <v>273</v>
      </c>
      <c r="C8" s="21" t="s">
        <v>274</v>
      </c>
      <c r="D8" s="21" t="s">
        <v>121</v>
      </c>
      <c r="E8" s="21" t="s">
        <v>122</v>
      </c>
      <c r="F8" s="21" t="s">
        <v>302</v>
      </c>
      <c r="G8" s="21" t="s">
        <v>303</v>
      </c>
      <c r="H8" s="21" t="s">
        <v>304</v>
      </c>
      <c r="I8" s="21" t="n">
        <v>1</v>
      </c>
      <c r="J8" s="21" t="n">
        <v>50</v>
      </c>
      <c r="K8" s="21" t="n">
        <v>120</v>
      </c>
      <c r="L8" s="21" t="s">
        <v>123</v>
      </c>
      <c r="M8" s="21" t="s">
        <v>124</v>
      </c>
      <c r="N8" s="21" t="s">
        <v>125</v>
      </c>
      <c r="O8" s="21" t="s">
        <v>173</v>
      </c>
      <c r="P8" s="21" t="s">
        <v>174</v>
      </c>
      <c r="Q8" s="21" t="s">
        <v>175</v>
      </c>
      <c r="R8" s="21" t="s">
        <v>305</v>
      </c>
      <c r="S8" s="21" t="s">
        <v>306</v>
      </c>
    </row>
    <row r="9" customFormat="false" ht="57.45" hidden="false" customHeight="false" outlineLevel="0" collapsed="false">
      <c r="A9" s="21" t="s">
        <v>155</v>
      </c>
      <c r="B9" s="21" t="s">
        <v>273</v>
      </c>
      <c r="C9" s="21" t="s">
        <v>280</v>
      </c>
      <c r="D9" s="21" t="s">
        <v>156</v>
      </c>
      <c r="E9" s="21" t="s">
        <v>157</v>
      </c>
      <c r="F9" s="21" t="s">
        <v>307</v>
      </c>
      <c r="G9" s="21" t="s">
        <v>308</v>
      </c>
      <c r="H9" s="21" t="s">
        <v>309</v>
      </c>
      <c r="I9" s="21" t="n">
        <v>2</v>
      </c>
      <c r="J9" s="21" t="n">
        <v>55</v>
      </c>
      <c r="K9" s="21" t="n">
        <v>95</v>
      </c>
      <c r="L9" s="21" t="s">
        <v>158</v>
      </c>
      <c r="M9" s="21" t="s">
        <v>159</v>
      </c>
      <c r="N9" s="21" t="s">
        <v>160</v>
      </c>
      <c r="O9" s="21" t="s">
        <v>187</v>
      </c>
      <c r="P9" s="21" t="s">
        <v>188</v>
      </c>
      <c r="Q9" s="21" t="s">
        <v>189</v>
      </c>
      <c r="R9" s="21" t="s">
        <v>310</v>
      </c>
      <c r="S9" s="21" t="s">
        <v>311</v>
      </c>
    </row>
    <row r="10" customFormat="false" ht="57.45" hidden="false" customHeight="false" outlineLevel="0" collapsed="false">
      <c r="A10" s="21" t="s">
        <v>206</v>
      </c>
      <c r="B10" s="21" t="s">
        <v>312</v>
      </c>
      <c r="C10" s="21" t="s">
        <v>280</v>
      </c>
      <c r="D10" s="21" t="s">
        <v>207</v>
      </c>
      <c r="E10" s="21" t="s">
        <v>208</v>
      </c>
      <c r="F10" s="21" t="s">
        <v>313</v>
      </c>
      <c r="G10" s="21" t="s">
        <v>308</v>
      </c>
      <c r="H10" s="21" t="s">
        <v>314</v>
      </c>
      <c r="I10" s="21" t="n">
        <v>2</v>
      </c>
      <c r="J10" s="21" t="n">
        <v>90</v>
      </c>
      <c r="K10" s="21" t="n">
        <v>130</v>
      </c>
      <c r="L10" s="21" t="s">
        <v>209</v>
      </c>
      <c r="M10" s="21" t="s">
        <v>210</v>
      </c>
      <c r="N10" s="21" t="s">
        <v>211</v>
      </c>
      <c r="O10" s="21" t="s">
        <v>226</v>
      </c>
      <c r="P10" s="21" t="s">
        <v>227</v>
      </c>
      <c r="Q10" s="21" t="s">
        <v>228</v>
      </c>
      <c r="R10" s="21" t="s">
        <v>315</v>
      </c>
      <c r="S10" s="21" t="s">
        <v>316</v>
      </c>
    </row>
    <row r="11" customFormat="false" ht="46.25" hidden="false" customHeight="false" outlineLevel="0" collapsed="false">
      <c r="A11" s="21" t="s">
        <v>212</v>
      </c>
      <c r="B11" s="21" t="s">
        <v>312</v>
      </c>
      <c r="C11" s="21" t="s">
        <v>280</v>
      </c>
      <c r="D11" s="21" t="s">
        <v>213</v>
      </c>
      <c r="E11" s="21" t="s">
        <v>208</v>
      </c>
      <c r="F11" s="21" t="s">
        <v>317</v>
      </c>
      <c r="G11" s="21" t="s">
        <v>308</v>
      </c>
      <c r="H11" s="21" t="s">
        <v>318</v>
      </c>
      <c r="I11" s="21" t="n">
        <v>2</v>
      </c>
      <c r="J11" s="21" t="n">
        <v>65</v>
      </c>
      <c r="K11" s="21" t="n">
        <v>105</v>
      </c>
      <c r="L11" s="21" t="s">
        <v>214</v>
      </c>
      <c r="M11" s="21" t="s">
        <v>215</v>
      </c>
      <c r="N11" s="21" t="s">
        <v>216</v>
      </c>
      <c r="O11" s="21" t="s">
        <v>229</v>
      </c>
      <c r="P11" s="21" t="s">
        <v>230</v>
      </c>
      <c r="Q11" s="21" t="s">
        <v>231</v>
      </c>
      <c r="R11" s="21" t="s">
        <v>319</v>
      </c>
      <c r="S11" s="21" t="s">
        <v>320</v>
      </c>
    </row>
    <row r="12" customFormat="false" ht="35.05" hidden="false" customHeight="false" outlineLevel="0" collapsed="false">
      <c r="A12" s="21" t="s">
        <v>198</v>
      </c>
      <c r="B12" s="21" t="s">
        <v>312</v>
      </c>
      <c r="C12" s="21" t="s">
        <v>274</v>
      </c>
      <c r="D12" s="21" t="s">
        <v>199</v>
      </c>
      <c r="E12" s="21" t="s">
        <v>200</v>
      </c>
      <c r="F12" s="21" t="s">
        <v>321</v>
      </c>
      <c r="G12" s="21" t="s">
        <v>308</v>
      </c>
      <c r="H12" s="21" t="s">
        <v>322</v>
      </c>
      <c r="I12" s="21" t="n">
        <v>1</v>
      </c>
      <c r="J12" s="21" t="n">
        <v>35</v>
      </c>
      <c r="K12" s="21" t="n">
        <v>55</v>
      </c>
      <c r="L12" s="21" t="s">
        <v>201</v>
      </c>
      <c r="M12" s="21" t="s">
        <v>202</v>
      </c>
      <c r="N12" s="21" t="s">
        <v>203</v>
      </c>
      <c r="O12" s="21" t="s">
        <v>222</v>
      </c>
      <c r="P12" s="21" t="s">
        <v>223</v>
      </c>
      <c r="Q12" s="21" t="s">
        <v>203</v>
      </c>
      <c r="R12" s="21" t="s">
        <v>323</v>
      </c>
      <c r="S12" s="21" t="s">
        <v>324</v>
      </c>
    </row>
    <row r="13" customFormat="false" ht="68.65" hidden="false" customHeight="false" outlineLevel="0" collapsed="false">
      <c r="A13" s="21" t="s">
        <v>192</v>
      </c>
      <c r="B13" s="21" t="s">
        <v>312</v>
      </c>
      <c r="C13" s="21" t="s">
        <v>274</v>
      </c>
      <c r="D13" s="21" t="s">
        <v>193</v>
      </c>
      <c r="E13" s="21" t="s">
        <v>194</v>
      </c>
      <c r="F13" s="21" t="s">
        <v>325</v>
      </c>
      <c r="G13" s="21" t="s">
        <v>282</v>
      </c>
      <c r="H13" s="21" t="s">
        <v>326</v>
      </c>
      <c r="I13" s="21" t="n">
        <v>3</v>
      </c>
      <c r="J13" s="21" t="n">
        <v>70</v>
      </c>
      <c r="K13" s="21" t="n">
        <v>130</v>
      </c>
      <c r="L13" s="21" t="s">
        <v>195</v>
      </c>
      <c r="M13" s="21" t="s">
        <v>196</v>
      </c>
      <c r="N13" s="21" t="s">
        <v>197</v>
      </c>
      <c r="O13" s="21" t="s">
        <v>219</v>
      </c>
      <c r="P13" s="21" t="s">
        <v>220</v>
      </c>
      <c r="Q13" s="21" t="s">
        <v>221</v>
      </c>
      <c r="R13" s="21" t="s">
        <v>327</v>
      </c>
      <c r="S13" s="21" t="s">
        <v>328</v>
      </c>
    </row>
    <row r="14" customFormat="false" ht="68.65" hidden="false" customHeight="false" outlineLevel="0" collapsed="false">
      <c r="A14" s="21" t="s">
        <v>329</v>
      </c>
      <c r="B14" s="21" t="s">
        <v>330</v>
      </c>
      <c r="C14" s="21" t="s">
        <v>89</v>
      </c>
      <c r="D14" s="21" t="s">
        <v>331</v>
      </c>
      <c r="E14" s="21" t="s">
        <v>332</v>
      </c>
      <c r="F14" s="21" t="s">
        <v>333</v>
      </c>
      <c r="G14" s="21" t="s">
        <v>276</v>
      </c>
      <c r="H14" s="21" t="s">
        <v>334</v>
      </c>
      <c r="I14" s="21" t="n">
        <v>2</v>
      </c>
      <c r="J14" s="21" t="n">
        <v>60</v>
      </c>
      <c r="K14" s="21" t="n">
        <v>100</v>
      </c>
      <c r="L14" s="21" t="s">
        <v>335</v>
      </c>
      <c r="M14" s="21" t="s">
        <v>336</v>
      </c>
      <c r="N14" s="21" t="s">
        <v>337</v>
      </c>
      <c r="O14" s="21" t="s">
        <v>338</v>
      </c>
      <c r="P14" s="21" t="s">
        <v>339</v>
      </c>
      <c r="Q14" s="21" t="s">
        <v>340</v>
      </c>
      <c r="R14" s="21" t="s">
        <v>341</v>
      </c>
      <c r="S14" s="21" t="s">
        <v>342</v>
      </c>
    </row>
    <row r="15" customFormat="false" ht="57.45" hidden="false" customHeight="false" outlineLevel="0" collapsed="false">
      <c r="A15" s="21" t="s">
        <v>343</v>
      </c>
      <c r="B15" s="21" t="s">
        <v>330</v>
      </c>
      <c r="C15" s="21" t="s">
        <v>89</v>
      </c>
      <c r="D15" s="21" t="s">
        <v>344</v>
      </c>
      <c r="E15" s="21" t="s">
        <v>345</v>
      </c>
      <c r="F15" s="21" t="s">
        <v>346</v>
      </c>
      <c r="G15" s="21" t="s">
        <v>276</v>
      </c>
      <c r="H15" s="21" t="s">
        <v>347</v>
      </c>
      <c r="I15" s="21" t="n">
        <v>2</v>
      </c>
      <c r="J15" s="21" t="n">
        <v>110</v>
      </c>
      <c r="K15" s="21" t="n">
        <v>150</v>
      </c>
      <c r="L15" s="21" t="s">
        <v>348</v>
      </c>
      <c r="M15" s="21" t="s">
        <v>349</v>
      </c>
      <c r="N15" s="21" t="s">
        <v>350</v>
      </c>
      <c r="O15" s="21" t="s">
        <v>351</v>
      </c>
      <c r="P15" s="21" t="s">
        <v>352</v>
      </c>
      <c r="Q15" s="21" t="s">
        <v>353</v>
      </c>
      <c r="R15" s="21" t="s">
        <v>354</v>
      </c>
      <c r="S15" s="21" t="s">
        <v>355</v>
      </c>
    </row>
    <row r="16" customFormat="false" ht="35.05" hidden="false" customHeight="false" outlineLevel="0" collapsed="false">
      <c r="A16" s="21" t="s">
        <v>356</v>
      </c>
      <c r="B16" s="21" t="s">
        <v>330</v>
      </c>
      <c r="C16" s="21" t="s">
        <v>89</v>
      </c>
      <c r="D16" s="21" t="s">
        <v>357</v>
      </c>
      <c r="E16" s="21" t="s">
        <v>358</v>
      </c>
      <c r="F16" s="21" t="s">
        <v>359</v>
      </c>
      <c r="G16" s="21" t="s">
        <v>276</v>
      </c>
      <c r="H16" s="21" t="s">
        <v>360</v>
      </c>
      <c r="I16" s="21" t="n">
        <v>2</v>
      </c>
      <c r="J16" s="21" t="n">
        <v>65</v>
      </c>
      <c r="K16" s="21" t="n">
        <v>105</v>
      </c>
      <c r="L16" s="21" t="s">
        <v>361</v>
      </c>
      <c r="M16" s="21" t="s">
        <v>362</v>
      </c>
      <c r="N16" s="21" t="s">
        <v>363</v>
      </c>
      <c r="O16" s="21" t="s">
        <v>364</v>
      </c>
      <c r="P16" s="21" t="s">
        <v>365</v>
      </c>
      <c r="Q16" s="21" t="s">
        <v>366</v>
      </c>
      <c r="R16" s="21" t="s">
        <v>367</v>
      </c>
      <c r="S16" s="21" t="s">
        <v>368</v>
      </c>
    </row>
    <row r="17" customFormat="false" ht="35.05" hidden="false" customHeight="false" outlineLevel="0" collapsed="false">
      <c r="A17" s="21" t="s">
        <v>369</v>
      </c>
      <c r="B17" s="21" t="s">
        <v>330</v>
      </c>
      <c r="C17" s="21" t="s">
        <v>89</v>
      </c>
      <c r="D17" s="21" t="s">
        <v>370</v>
      </c>
      <c r="E17" s="21" t="s">
        <v>151</v>
      </c>
      <c r="F17" s="21" t="s">
        <v>371</v>
      </c>
      <c r="G17" s="21" t="s">
        <v>276</v>
      </c>
      <c r="H17" s="21" t="s">
        <v>372</v>
      </c>
      <c r="I17" s="21" t="n">
        <v>2</v>
      </c>
      <c r="J17" s="21" t="n">
        <v>70</v>
      </c>
      <c r="K17" s="21" t="n">
        <v>110</v>
      </c>
      <c r="L17" s="21" t="s">
        <v>373</v>
      </c>
      <c r="M17" s="21" t="s">
        <v>374</v>
      </c>
      <c r="N17" s="21" t="s">
        <v>375</v>
      </c>
      <c r="O17" s="21" t="s">
        <v>376</v>
      </c>
      <c r="P17" s="21" t="s">
        <v>377</v>
      </c>
      <c r="Q17" s="21" t="s">
        <v>378</v>
      </c>
      <c r="R17" s="21" t="s">
        <v>379</v>
      </c>
      <c r="S17" s="21" t="s">
        <v>380</v>
      </c>
    </row>
    <row r="18" customFormat="false" ht="46.25" hidden="false" customHeight="false" outlineLevel="0" collapsed="false">
      <c r="A18" s="21" t="s">
        <v>381</v>
      </c>
      <c r="B18" s="21" t="s">
        <v>330</v>
      </c>
      <c r="C18" s="21" t="s">
        <v>89</v>
      </c>
      <c r="D18" s="21" t="s">
        <v>382</v>
      </c>
      <c r="E18" s="21" t="s">
        <v>358</v>
      </c>
      <c r="F18" s="21" t="s">
        <v>383</v>
      </c>
      <c r="G18" s="21" t="s">
        <v>276</v>
      </c>
      <c r="H18" s="21" t="s">
        <v>384</v>
      </c>
      <c r="I18" s="21" t="n">
        <v>2</v>
      </c>
      <c r="J18" s="21" t="n">
        <v>100</v>
      </c>
      <c r="K18" s="21" t="n">
        <v>140</v>
      </c>
      <c r="L18" s="21" t="s">
        <v>385</v>
      </c>
      <c r="M18" s="21" t="s">
        <v>386</v>
      </c>
      <c r="N18" s="21" t="s">
        <v>387</v>
      </c>
      <c r="O18" s="21" t="s">
        <v>388</v>
      </c>
      <c r="P18" s="21" t="s">
        <v>389</v>
      </c>
      <c r="Q18" s="21" t="s">
        <v>390</v>
      </c>
      <c r="R18" s="21" t="s">
        <v>391</v>
      </c>
      <c r="S18" s="21" t="s">
        <v>392</v>
      </c>
    </row>
    <row r="19" customFormat="false" ht="46.25" hidden="false" customHeight="false" outlineLevel="0" collapsed="false">
      <c r="A19" s="21" t="s">
        <v>393</v>
      </c>
      <c r="B19" s="21" t="s">
        <v>330</v>
      </c>
      <c r="C19" s="21" t="s">
        <v>89</v>
      </c>
      <c r="D19" s="21" t="s">
        <v>394</v>
      </c>
      <c r="E19" s="21" t="s">
        <v>122</v>
      </c>
      <c r="F19" s="21" t="s">
        <v>395</v>
      </c>
      <c r="G19" s="21" t="s">
        <v>282</v>
      </c>
      <c r="H19" s="21" t="s">
        <v>396</v>
      </c>
      <c r="I19" s="21" t="n">
        <v>2</v>
      </c>
      <c r="J19" s="21" t="n">
        <v>75</v>
      </c>
      <c r="K19" s="21" t="n">
        <v>115</v>
      </c>
      <c r="L19" s="21" t="s">
        <v>397</v>
      </c>
      <c r="M19" s="21" t="s">
        <v>398</v>
      </c>
      <c r="N19" s="21" t="s">
        <v>399</v>
      </c>
      <c r="O19" s="21" t="s">
        <v>400</v>
      </c>
      <c r="P19" s="21" t="s">
        <v>401</v>
      </c>
      <c r="Q19" s="21" t="s">
        <v>402</v>
      </c>
      <c r="R19" s="21" t="s">
        <v>403</v>
      </c>
      <c r="S19" s="21" t="s">
        <v>404</v>
      </c>
    </row>
    <row r="20" customFormat="false" ht="35.05" hidden="false" customHeight="false" outlineLevel="0" collapsed="false">
      <c r="A20" s="21" t="s">
        <v>405</v>
      </c>
      <c r="B20" s="21" t="s">
        <v>330</v>
      </c>
      <c r="C20" s="21" t="s">
        <v>89</v>
      </c>
      <c r="D20" s="21" t="s">
        <v>406</v>
      </c>
      <c r="E20" s="21" t="s">
        <v>194</v>
      </c>
      <c r="F20" s="21" t="s">
        <v>407</v>
      </c>
      <c r="G20" s="21" t="s">
        <v>282</v>
      </c>
      <c r="H20" s="21" t="s">
        <v>408</v>
      </c>
      <c r="I20" s="21" t="n">
        <v>2</v>
      </c>
      <c r="J20" s="21" t="n">
        <v>60</v>
      </c>
      <c r="K20" s="21" t="n">
        <v>100</v>
      </c>
      <c r="L20" s="21" t="s">
        <v>409</v>
      </c>
      <c r="M20" s="21" t="s">
        <v>410</v>
      </c>
      <c r="N20" s="21" t="s">
        <v>411</v>
      </c>
      <c r="O20" s="21" t="s">
        <v>412</v>
      </c>
      <c r="P20" s="21" t="s">
        <v>413</v>
      </c>
      <c r="Q20" s="21" t="s">
        <v>414</v>
      </c>
      <c r="R20" s="21" t="s">
        <v>415</v>
      </c>
      <c r="S20" s="21" t="s">
        <v>416</v>
      </c>
    </row>
    <row r="22" customFormat="false" ht="15" hidden="false" customHeight="false" outlineLevel="0" collapsed="false">
      <c r="A22" s="31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2026-10-28T16:19:52Z</dcterms:created>
  <dc:creator>openpyxl</dc:creator>
  <dc:description/>
  <dc:language>pt-BR</dc:language>
  <cp:lastModifiedBy/>
  <dcterms:modified xsi:type="dcterms:W3CDTF">2026-10-28T16:19:52Z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